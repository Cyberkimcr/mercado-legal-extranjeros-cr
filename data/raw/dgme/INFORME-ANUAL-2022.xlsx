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I:\INFORMES\"/>
    </mc:Choice>
  </mc:AlternateContent>
  <xr:revisionPtr revIDLastSave="0" documentId="13_ncr:1_{1471C2B8-9B2C-4BE2-9E29-AFB5C3E3C403}" xr6:coauthVersionLast="47" xr6:coauthVersionMax="47" xr10:uidLastSave="{00000000-0000-0000-0000-000000000000}"/>
  <bookViews>
    <workbookView xWindow="-120" yWindow="-120" windowWidth="29040" windowHeight="15840" firstSheet="3" activeTab="9" xr2:uid="{00000000-000D-0000-FFFF-FFFF00000000}"/>
  </bookViews>
  <sheets>
    <sheet name="ACUMULADOS 2022" sheetId="4" r:id="rId1"/>
    <sheet name="REF. ACUM.  2022" sheetId="5" r:id="rId2"/>
    <sheet name="RECON. REF." sheetId="14" r:id="rId3"/>
    <sheet name="SOLIC. REF" sheetId="9" r:id="rId4"/>
    <sheet name="SOLIC.SEXO" sheetId="17" r:id="rId5"/>
    <sheet name="APROB. EDAD" sheetId="7" r:id="rId6"/>
    <sheet name="APROB. SEXO" sheetId="6" r:id="rId7"/>
    <sheet name="RECON. REFU-SEX-EDAD" sheetId="8" r:id="rId8"/>
    <sheet name="PPM RECH-DEP." sheetId="3" r:id="rId9"/>
    <sheet name="MOV. MIG. 2022" sheetId="15" r:id="rId10"/>
    <sheet name="MoV Mig Por puesto" sheetId="1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7" l="1"/>
  <c r="F12" i="17"/>
  <c r="G12" i="17"/>
  <c r="H12" i="17"/>
  <c r="I12" i="17"/>
  <c r="J12" i="17"/>
  <c r="K141" i="17"/>
  <c r="K140" i="17"/>
  <c r="K139" i="17"/>
  <c r="K138" i="17"/>
  <c r="K137" i="17"/>
  <c r="K136" i="17"/>
  <c r="K135" i="17"/>
  <c r="K134" i="17"/>
  <c r="K133" i="17"/>
  <c r="K132" i="17"/>
  <c r="K131" i="17"/>
  <c r="K130" i="17"/>
  <c r="K129" i="17"/>
  <c r="K128" i="17"/>
  <c r="K127" i="17"/>
  <c r="K126" i="17"/>
  <c r="K125" i="17"/>
  <c r="K124" i="17"/>
  <c r="K123" i="17"/>
  <c r="K122" i="17"/>
  <c r="K121" i="17"/>
  <c r="K120" i="17"/>
  <c r="K119" i="17"/>
  <c r="K118" i="17"/>
  <c r="K117" i="17"/>
  <c r="K116" i="17"/>
  <c r="K115" i="17"/>
  <c r="K114" i="17"/>
  <c r="K113" i="17"/>
  <c r="K112" i="17"/>
  <c r="K111" i="17"/>
  <c r="K110" i="17"/>
  <c r="K109" i="17"/>
  <c r="K108" i="17"/>
  <c r="K107" i="17"/>
  <c r="K106" i="17"/>
  <c r="K105" i="17"/>
  <c r="K104" i="17"/>
  <c r="K103" i="17"/>
  <c r="K102" i="17"/>
  <c r="K101" i="17"/>
  <c r="K100" i="17"/>
  <c r="K99" i="17"/>
  <c r="K98" i="17"/>
  <c r="K97" i="17"/>
  <c r="K96" i="17"/>
  <c r="K95" i="17"/>
  <c r="K94" i="17"/>
  <c r="K93" i="17"/>
  <c r="K92" i="17"/>
  <c r="K91" i="17"/>
  <c r="K90" i="17"/>
  <c r="K89" i="17"/>
  <c r="K88" i="17"/>
  <c r="K87" i="17"/>
  <c r="K86" i="17"/>
  <c r="K85" i="17"/>
  <c r="K84" i="17"/>
  <c r="K83" i="17"/>
  <c r="K82" i="17"/>
  <c r="K81" i="17"/>
  <c r="K80" i="17"/>
  <c r="K79" i="17"/>
  <c r="K78" i="17"/>
  <c r="K77" i="17"/>
  <c r="K76" i="17"/>
  <c r="K75" i="17"/>
  <c r="K74" i="17"/>
  <c r="K73" i="17"/>
  <c r="K72" i="17"/>
  <c r="K71" i="17"/>
  <c r="K70" i="17"/>
  <c r="K69" i="17"/>
  <c r="K68" i="17"/>
  <c r="K67" i="17"/>
  <c r="K66" i="17"/>
  <c r="K65" i="17"/>
  <c r="K64" i="17"/>
  <c r="K63" i="17"/>
  <c r="K62" i="17"/>
  <c r="K61" i="17"/>
  <c r="K60" i="17"/>
  <c r="K59" i="17"/>
  <c r="K58" i="17"/>
  <c r="K57" i="17"/>
  <c r="K56" i="17"/>
  <c r="K55" i="17"/>
  <c r="K54" i="17"/>
  <c r="K53" i="17"/>
  <c r="K52" i="17"/>
  <c r="K51" i="17"/>
  <c r="K50" i="17"/>
  <c r="K49" i="17"/>
  <c r="K48" i="17"/>
  <c r="K47" i="17"/>
  <c r="K46" i="17"/>
  <c r="K45" i="17"/>
  <c r="K44" i="17"/>
  <c r="K43" i="17"/>
  <c r="K42" i="17"/>
  <c r="K41" i="17"/>
  <c r="K40" i="17"/>
  <c r="K39" i="17"/>
  <c r="K38" i="17"/>
  <c r="K37" i="17"/>
  <c r="K36" i="17"/>
  <c r="K35" i="17"/>
  <c r="K34" i="17"/>
  <c r="K33" i="17"/>
  <c r="K32" i="17"/>
  <c r="K31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D18" i="17"/>
  <c r="K18" i="17" s="1"/>
  <c r="C18" i="17"/>
  <c r="C12" i="17" s="1"/>
  <c r="B18" i="17"/>
  <c r="B12" i="17" s="1"/>
  <c r="K17" i="17"/>
  <c r="K16" i="17"/>
  <c r="K15" i="17"/>
  <c r="K14" i="17"/>
  <c r="D12" i="17" l="1"/>
  <c r="K12" i="17" s="1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61" i="15"/>
  <c r="C161" i="15"/>
  <c r="B162" i="15"/>
  <c r="C162" i="15"/>
  <c r="B163" i="15"/>
  <c r="C163" i="15"/>
  <c r="B164" i="15"/>
  <c r="C164" i="15"/>
  <c r="B165" i="15"/>
  <c r="C165" i="15"/>
  <c r="B166" i="15"/>
  <c r="C166" i="15"/>
  <c r="B167" i="15"/>
  <c r="C167" i="15"/>
  <c r="B168" i="15"/>
  <c r="C168" i="15"/>
  <c r="B169" i="15"/>
  <c r="C169" i="15"/>
  <c r="B170" i="15"/>
  <c r="C170" i="15"/>
  <c r="B171" i="15"/>
  <c r="C171" i="15"/>
  <c r="B172" i="15"/>
  <c r="C172" i="15"/>
  <c r="B173" i="15"/>
  <c r="C173" i="15"/>
  <c r="B174" i="15"/>
  <c r="C174" i="15"/>
  <c r="B175" i="15"/>
  <c r="C175" i="15"/>
  <c r="B176" i="15"/>
  <c r="C176" i="15"/>
  <c r="B177" i="15"/>
  <c r="C177" i="15"/>
  <c r="B178" i="15"/>
  <c r="C178" i="15"/>
  <c r="B179" i="15"/>
  <c r="C179" i="15"/>
  <c r="B180" i="15"/>
  <c r="C180" i="15"/>
  <c r="B181" i="15"/>
  <c r="C181" i="15"/>
  <c r="B182" i="15"/>
  <c r="C182" i="15"/>
  <c r="B183" i="15"/>
  <c r="C183" i="15"/>
  <c r="B184" i="15"/>
  <c r="C184" i="15"/>
  <c r="B185" i="15"/>
  <c r="C185" i="15"/>
  <c r="B186" i="15"/>
  <c r="C186" i="15"/>
  <c r="B187" i="15"/>
  <c r="C187" i="15"/>
  <c r="B188" i="15"/>
  <c r="C188" i="15"/>
  <c r="B189" i="15"/>
  <c r="C189" i="15"/>
  <c r="B190" i="15"/>
  <c r="C190" i="15"/>
  <c r="B191" i="15"/>
  <c r="C191" i="15"/>
  <c r="B192" i="15"/>
  <c r="C192" i="15"/>
  <c r="B193" i="15"/>
  <c r="C193" i="15"/>
  <c r="B194" i="15"/>
  <c r="C194" i="15"/>
  <c r="B195" i="15"/>
  <c r="C195" i="15"/>
  <c r="B196" i="15"/>
  <c r="C196" i="15"/>
  <c r="B197" i="15"/>
  <c r="C197" i="15"/>
  <c r="B198" i="15"/>
  <c r="C198" i="15"/>
  <c r="B199" i="15"/>
  <c r="C199" i="15"/>
  <c r="B200" i="15"/>
  <c r="C200" i="15"/>
  <c r="B201" i="15"/>
  <c r="C201" i="15"/>
  <c r="B202" i="15"/>
  <c r="C202" i="15"/>
  <c r="B203" i="15"/>
  <c r="C203" i="15"/>
  <c r="B204" i="15"/>
  <c r="C204" i="15"/>
  <c r="B205" i="15"/>
  <c r="C205" i="15"/>
  <c r="B206" i="15"/>
  <c r="C206" i="15"/>
  <c r="B207" i="15"/>
  <c r="C207" i="15"/>
  <c r="B208" i="15"/>
  <c r="C208" i="15"/>
  <c r="B209" i="15"/>
  <c r="C209" i="15"/>
  <c r="B11" i="15"/>
  <c r="C11" i="15"/>
  <c r="C13" i="15"/>
  <c r="B13" i="15"/>
  <c r="C11" i="7" l="1"/>
  <c r="D11" i="7"/>
  <c r="E11" i="7"/>
  <c r="F11" i="7"/>
  <c r="G11" i="7"/>
  <c r="H11" i="7"/>
  <c r="I11" i="7"/>
  <c r="J11" i="7"/>
  <c r="K11" i="7"/>
  <c r="B11" i="7"/>
  <c r="C12" i="6"/>
  <c r="D12" i="6"/>
  <c r="E12" i="6"/>
  <c r="F12" i="6"/>
  <c r="G12" i="6"/>
  <c r="H12" i="6"/>
  <c r="I12" i="6"/>
  <c r="J12" i="6"/>
  <c r="K12" i="6"/>
  <c r="B12" i="6"/>
  <c r="B72" i="5" l="1"/>
  <c r="B50" i="5"/>
  <c r="B41" i="5"/>
  <c r="B32" i="5"/>
  <c r="B29" i="5"/>
  <c r="B26" i="5"/>
  <c r="E224" i="4"/>
  <c r="E222" i="4" s="1"/>
  <c r="D222" i="4"/>
  <c r="C222" i="4"/>
  <c r="B222" i="4"/>
  <c r="E209" i="4"/>
  <c r="D209" i="4"/>
  <c r="C209" i="4"/>
  <c r="B209" i="4"/>
  <c r="E161" i="4"/>
  <c r="D161" i="4"/>
  <c r="C161" i="4"/>
  <c r="B161" i="4"/>
  <c r="D110" i="4"/>
  <c r="C110" i="4"/>
  <c r="B110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D66" i="4"/>
  <c r="C66" i="4"/>
  <c r="B66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 s="1"/>
  <c r="D11" i="4"/>
  <c r="C11" i="4"/>
  <c r="B11" i="4"/>
  <c r="D9" i="4" l="1"/>
  <c r="E66" i="4"/>
  <c r="E9" i="4" s="1"/>
  <c r="E110" i="4"/>
  <c r="C9" i="4"/>
  <c r="B11" i="5"/>
  <c r="B9" i="4"/>
  <c r="D8" i="3"/>
  <c r="C8" i="3"/>
</calcChain>
</file>

<file path=xl/sharedStrings.xml><?xml version="1.0" encoding="utf-8"?>
<sst xmlns="http://schemas.openxmlformats.org/spreadsheetml/2006/main" count="1171" uniqueCount="420">
  <si>
    <t>TOTAL</t>
  </si>
  <si>
    <t>AEROP. INT. DANIEL ODUBER</t>
  </si>
  <si>
    <t>AEROP. INT. JUAN SANTAMARIA</t>
  </si>
  <si>
    <t>AEROP. INT. LIMON</t>
  </si>
  <si>
    <t>AEROP. INT. TOBIAS BOLAÑOS</t>
  </si>
  <si>
    <t>COORD. POL. REG. LIMON</t>
  </si>
  <si>
    <t>COORD. POL. REG. PASO CANOAS</t>
  </si>
  <si>
    <t>COORD. POL. REG. PEÑAS BLANCAS</t>
  </si>
  <si>
    <t>COORD. POL. REG. PUNTARENAS</t>
  </si>
  <si>
    <t>OFIC. POL. REG. GOLFITO</t>
  </si>
  <si>
    <t>OFIC. POL. REG. LAS TABLILLAS</t>
  </si>
  <si>
    <t>OFIC. POL. REG. PLAYAS DEL COCO</t>
  </si>
  <si>
    <t>OFIC. POL. REG. QUEPOS</t>
  </si>
  <si>
    <t>OFIC. POL. REG. SABALITO</t>
  </si>
  <si>
    <t>OFIC. POL. REG. SIXAOLA</t>
  </si>
  <si>
    <r>
      <t xml:space="preserve">Nota: * </t>
    </r>
    <r>
      <rPr>
        <b/>
        <sz val="8"/>
        <rFont val="Arial"/>
        <family val="2"/>
      </rPr>
      <t>NO</t>
    </r>
    <r>
      <rPr>
        <sz val="8"/>
        <rFont val="Arial"/>
        <family val="2"/>
      </rPr>
      <t xml:space="preserve"> incluye el movimiento migratorio de personas que viajan en crucero.</t>
    </r>
  </si>
  <si>
    <t>Fuente: Dirección General de Migración y Extranjería</t>
  </si>
  <si>
    <t xml:space="preserve">             Planificación Insitucional, cuadro elaborado con información registrada en el Sistema de Movimiento Migratorio Electrónico  (SIMMEL)</t>
  </si>
  <si>
    <t>COSTA RICA</t>
  </si>
  <si>
    <t>SEGÚN PUESTO</t>
  </si>
  <si>
    <t>AÑO 2022</t>
  </si>
  <si>
    <t>PUESTO MIGRATORIO</t>
  </si>
  <si>
    <t>DEPORTACIONES</t>
  </si>
  <si>
    <t xml:space="preserve">TOTAL </t>
  </si>
  <si>
    <t xml:space="preserve">OTRAS </t>
  </si>
  <si>
    <t>NICARAGUA</t>
  </si>
  <si>
    <t>ESTADOS UNIDOS</t>
  </si>
  <si>
    <t>VENEZUELA</t>
  </si>
  <si>
    <t>COLOMBIA</t>
  </si>
  <si>
    <t>PANAMA</t>
  </si>
  <si>
    <t>CUBA</t>
  </si>
  <si>
    <t>ECUADOR</t>
  </si>
  <si>
    <t>EL SALVADOR</t>
  </si>
  <si>
    <t>INDIA</t>
  </si>
  <si>
    <t>REP. POP. DE CHINA</t>
  </si>
  <si>
    <t>REP. DOMINICANA</t>
  </si>
  <si>
    <t>RECHAZOS</t>
  </si>
  <si>
    <t>PAÍS DE ORIGEN</t>
  </si>
  <si>
    <t>RECHAZOS Y DEPORTACIONES EFECTUADAS</t>
  </si>
  <si>
    <t xml:space="preserve">             Planificación Insitucional, cuadro elaborado con información registrada en el Sistema de Movimiento Migratorio Electrónico  (SIMMEL) Y EL Sistema de la Policía Profesional de Migración</t>
  </si>
  <si>
    <t>RESIDENTES PERMANENTES, RESIDENTES TEMPORALES Y CATEGORÍAS ESPECIALES</t>
  </si>
  <si>
    <t>SEGÚN CONTINENTE Y PAÍS</t>
  </si>
  <si>
    <t>DATOS ACUMULADOS  HASTA EL 31  DE  DICIEMBRE  2022</t>
  </si>
  <si>
    <t>PAIS</t>
  </si>
  <si>
    <t>CATEGORÍAS</t>
  </si>
  <si>
    <t>RESIDENTES</t>
  </si>
  <si>
    <t>ESPECIALES *</t>
  </si>
  <si>
    <t>TEMPORALES**</t>
  </si>
  <si>
    <t>PERMANENTES ***</t>
  </si>
  <si>
    <t xml:space="preserve"> TOTAL</t>
  </si>
  <si>
    <t>AFRICA</t>
  </si>
  <si>
    <t>AFRICA DEL SUR</t>
  </si>
  <si>
    <t>ANGOLA</t>
  </si>
  <si>
    <t>ARGELIA</t>
  </si>
  <si>
    <t xml:space="preserve">BENIN </t>
  </si>
  <si>
    <t>BOTSWANA</t>
  </si>
  <si>
    <t>BURKINA FASO</t>
  </si>
  <si>
    <t>BURUNDI</t>
  </si>
  <si>
    <t>BUTAN</t>
  </si>
  <si>
    <t>CABO VERDE</t>
  </si>
  <si>
    <t>CAMERUN</t>
  </si>
  <si>
    <t>COMORAS</t>
  </si>
  <si>
    <t>COSTA DE MARFIL</t>
  </si>
  <si>
    <t>EGIPTO</t>
  </si>
  <si>
    <t>ERITREA</t>
  </si>
  <si>
    <t>ETIOPIA</t>
  </si>
  <si>
    <t>GABON</t>
  </si>
  <si>
    <t>GHANA</t>
  </si>
  <si>
    <t>GUINEA BISSAU</t>
  </si>
  <si>
    <t>GUINEA ECUATORIAL</t>
  </si>
  <si>
    <t>KENIA</t>
  </si>
  <si>
    <t>LAOS</t>
  </si>
  <si>
    <t>LESOTHO</t>
  </si>
  <si>
    <t>LIBERIA</t>
  </si>
  <si>
    <t>LIBIA</t>
  </si>
  <si>
    <t>MADAGASCAR</t>
  </si>
  <si>
    <t>MALAWI</t>
  </si>
  <si>
    <t>MALI</t>
  </si>
  <si>
    <t>MARRUECOS</t>
  </si>
  <si>
    <t>MAURICIO</t>
  </si>
  <si>
    <t>MOZAMBIQUE</t>
  </si>
  <si>
    <t>NAMIBIA</t>
  </si>
  <si>
    <t>NIGER</t>
  </si>
  <si>
    <t>NIGERIA</t>
  </si>
  <si>
    <t xml:space="preserve">REPUBLICA  DEM.  DEL CONGO </t>
  </si>
  <si>
    <t>REPUBLICA CENTROAFRICANA</t>
  </si>
  <si>
    <t>REPUBLICA DE GUINEA</t>
  </si>
  <si>
    <t xml:space="preserve">REPUBLICA DEL CONGO </t>
  </si>
  <si>
    <t>RWANDA</t>
  </si>
  <si>
    <t>SAHARA OCCIDENTAL</t>
  </si>
  <si>
    <t>SENEGAL</t>
  </si>
  <si>
    <t>SEYCHELLES</t>
  </si>
  <si>
    <t>SIERRA LEONA</t>
  </si>
  <si>
    <t>SOMALIA</t>
  </si>
  <si>
    <t>SUDAFRICA</t>
  </si>
  <si>
    <t>SUDAN</t>
  </si>
  <si>
    <t>SUDAN DEL NORTE</t>
  </si>
  <si>
    <t>SWAZILANDIA</t>
  </si>
  <si>
    <t>TANZANIA</t>
  </si>
  <si>
    <t>TOGO</t>
  </si>
  <si>
    <t>TUNEZ</t>
  </si>
  <si>
    <t>UGANDA</t>
  </si>
  <si>
    <t>ZAMBIA</t>
  </si>
  <si>
    <t>ZIMBABWE</t>
  </si>
  <si>
    <t>AMERICA</t>
  </si>
  <si>
    <t>ANTIGUA Y BARBUDA</t>
  </si>
  <si>
    <t>ANTILLAS HOLANDESA</t>
  </si>
  <si>
    <t>ARGENTINA</t>
  </si>
  <si>
    <t>ARUBA</t>
  </si>
  <si>
    <t>BAHAMAS</t>
  </si>
  <si>
    <t>BARBADOS</t>
  </si>
  <si>
    <t>BELICE</t>
  </si>
  <si>
    <t>BERMUDAS</t>
  </si>
  <si>
    <t>BOLIVIA</t>
  </si>
  <si>
    <t>BRASIL</t>
  </si>
  <si>
    <t>CANADA</t>
  </si>
  <si>
    <t>CHILE</t>
  </si>
  <si>
    <t>CURAZAO</t>
  </si>
  <si>
    <t>DOMINICA</t>
  </si>
  <si>
    <t>GRANADA</t>
  </si>
  <si>
    <t>GUADALUPE</t>
  </si>
  <si>
    <t>GUATEMALA</t>
  </si>
  <si>
    <t>GUYANA</t>
  </si>
  <si>
    <t>HAITI</t>
  </si>
  <si>
    <t>HONDURAS</t>
  </si>
  <si>
    <t>ISLAS CAIMAN</t>
  </si>
  <si>
    <t>JAMAICA</t>
  </si>
  <si>
    <t>MEXICO</t>
  </si>
  <si>
    <t>PARAGUAY</t>
  </si>
  <si>
    <t>PERU</t>
  </si>
  <si>
    <t>PUERTO RICO</t>
  </si>
  <si>
    <t>REPUBLICA DOMINICANA</t>
  </si>
  <si>
    <t>SAINT KITTS Y NEVIS</t>
  </si>
  <si>
    <t>SAN CRISTOBAL Y NEVIS</t>
  </si>
  <si>
    <t>SAN VICENTE Y LAS GRANADINAS</t>
  </si>
  <si>
    <t>SANTA LUCIA</t>
  </si>
  <si>
    <t>SURINAM</t>
  </si>
  <si>
    <t>TRINIDAD Y TOBAGO</t>
  </si>
  <si>
    <t>URUGUAY</t>
  </si>
  <si>
    <t>ASIA</t>
  </si>
  <si>
    <t>AFGANISTAN</t>
  </si>
  <si>
    <t>ARABIA SAUDI</t>
  </si>
  <si>
    <t>ARMENIA</t>
  </si>
  <si>
    <t>AZERBAIYAN</t>
  </si>
  <si>
    <t>BANGLADESH</t>
  </si>
  <si>
    <t>CAMBOYA</t>
  </si>
  <si>
    <t>CHAD</t>
  </si>
  <si>
    <t>CHIPRE</t>
  </si>
  <si>
    <t>EMIRATOS ARABES UNIDOS</t>
  </si>
  <si>
    <t>FILIPINAS</t>
  </si>
  <si>
    <t>GUAM</t>
  </si>
  <si>
    <t>HONG KONG</t>
  </si>
  <si>
    <t>INDONESIA</t>
  </si>
  <si>
    <t>IRAN</t>
  </si>
  <si>
    <t>IRAQ</t>
  </si>
  <si>
    <t>ISRAEL</t>
  </si>
  <si>
    <t>JAPON</t>
  </si>
  <si>
    <t>JORDANIA</t>
  </si>
  <si>
    <t>KAZAJISTAN</t>
  </si>
  <si>
    <t>KIRGUISTAN</t>
  </si>
  <si>
    <t>KUWAIT</t>
  </si>
  <si>
    <t>LIBANO</t>
  </si>
  <si>
    <t>MALASIA</t>
  </si>
  <si>
    <t>MALDIVAS</t>
  </si>
  <si>
    <t>MAYANMAR</t>
  </si>
  <si>
    <t>MONGOLIA</t>
  </si>
  <si>
    <t>MYANMAR</t>
  </si>
  <si>
    <t>NEPAL</t>
  </si>
  <si>
    <t>OMAN</t>
  </si>
  <si>
    <t>PAKISTAN</t>
  </si>
  <si>
    <t>PALESTINA</t>
  </si>
  <si>
    <t>QATAR</t>
  </si>
  <si>
    <t>REPUBLICA DE CHINA TAIWAN</t>
  </si>
  <si>
    <t>REPUBLICA DE COREA</t>
  </si>
  <si>
    <t>REPUBLICA POP. DE CHINA</t>
  </si>
  <si>
    <t xml:space="preserve">REPUBLICA POP. DEM.  DE  COREA </t>
  </si>
  <si>
    <t>SINGAPUR</t>
  </si>
  <si>
    <t>SIRIA</t>
  </si>
  <si>
    <t>SRI LANKA</t>
  </si>
  <si>
    <t>TAILANDIA</t>
  </si>
  <si>
    <t>TAJIKISTAN</t>
  </si>
  <si>
    <t>TIMOR ORIENTAL</t>
  </si>
  <si>
    <t>TURKMENISTAN</t>
  </si>
  <si>
    <t>TURQUIA</t>
  </si>
  <si>
    <t>UZBEKISTAN</t>
  </si>
  <si>
    <t>VIETNAM</t>
  </si>
  <si>
    <t>YEMEN</t>
  </si>
  <si>
    <t>EUROPA</t>
  </si>
  <si>
    <t>ALBANIA</t>
  </si>
  <si>
    <t>ALEMANIA</t>
  </si>
  <si>
    <t>ANDORRA</t>
  </si>
  <si>
    <t>AUSTRIA</t>
  </si>
  <si>
    <t>BELGICA</t>
  </si>
  <si>
    <t>BIELORRUSIA</t>
  </si>
  <si>
    <t>BOSNIA Y HERCEGOVINA</t>
  </si>
  <si>
    <t>BULGARIA</t>
  </si>
  <si>
    <t>CROACIA</t>
  </si>
  <si>
    <t>DINAMARCA</t>
  </si>
  <si>
    <t>ESLOVAQUIA</t>
  </si>
  <si>
    <t>ESLOVENIA</t>
  </si>
  <si>
    <t>ESPAÑA</t>
  </si>
  <si>
    <t>ESTONIA</t>
  </si>
  <si>
    <t>FEDERACION RUSA</t>
  </si>
  <si>
    <t>FINLANDIA</t>
  </si>
  <si>
    <t>FRANCIA</t>
  </si>
  <si>
    <t>GEORGIA</t>
  </si>
  <si>
    <t>HUNGRIA</t>
  </si>
  <si>
    <t>IRLANDA</t>
  </si>
  <si>
    <t>ISLANDIA</t>
  </si>
  <si>
    <t>ITALIA</t>
  </si>
  <si>
    <t>LETONIA</t>
  </si>
  <si>
    <t>LIECHTENSTEIN</t>
  </si>
  <si>
    <t>LITUANIA</t>
  </si>
  <si>
    <t>LUXEMBURGO</t>
  </si>
  <si>
    <t>MACEDONIA</t>
  </si>
  <si>
    <t>MALTA</t>
  </si>
  <si>
    <t>MOLDOVA</t>
  </si>
  <si>
    <t>MONTENEGRO</t>
  </si>
  <si>
    <t>NORUEGA</t>
  </si>
  <si>
    <t>PAISES BAJOS</t>
  </si>
  <si>
    <t>POLONIA</t>
  </si>
  <si>
    <t>PORTUGAL</t>
  </si>
  <si>
    <t>PRINCIPADO DE MONACO</t>
  </si>
  <si>
    <t>REINO UNIDO</t>
  </si>
  <si>
    <t>REPUBLICA CHECA</t>
  </si>
  <si>
    <t>REPUBLICA HELENICA</t>
  </si>
  <si>
    <t>RUMANIA</t>
  </si>
  <si>
    <t>SAN MARINO</t>
  </si>
  <si>
    <t>SANTA SEDE DEL VATICANO</t>
  </si>
  <si>
    <t xml:space="preserve">SERBIA </t>
  </si>
  <si>
    <t>SUECIA</t>
  </si>
  <si>
    <t>SUIZA</t>
  </si>
  <si>
    <t>UCRANIA</t>
  </si>
  <si>
    <t>YUGOESLAVIA</t>
  </si>
  <si>
    <t>OCEANIA</t>
  </si>
  <si>
    <t>AUSTRALIA</t>
  </si>
  <si>
    <t>FIJI</t>
  </si>
  <si>
    <t>ISLAS PITCARIN</t>
  </si>
  <si>
    <t xml:space="preserve">ISLAS VIRGENES </t>
  </si>
  <si>
    <t>MICRONESIA</t>
  </si>
  <si>
    <t>NAURU</t>
  </si>
  <si>
    <t>NIUE</t>
  </si>
  <si>
    <t>NUEVA ZELANDA</t>
  </si>
  <si>
    <t>TONGA</t>
  </si>
  <si>
    <t>VANUATU</t>
  </si>
  <si>
    <t>OTROS</t>
  </si>
  <si>
    <t>APATRIA</t>
  </si>
  <si>
    <t>NO INDICA</t>
  </si>
  <si>
    <t xml:space="preserve"> </t>
  </si>
  <si>
    <t xml:space="preserve">        Notas: * Incluye  categorías especiales: trabajadores temporales, trabajadores de ocupación específica, estudiante, asilados, refugiados, apatridas,  invitados especiales por razones de seguridad, testigos en procesos judiciales, artistas, deportistas e integrantes de espectáculos públicos, trabajadores ligados a proyectos específicos.</t>
  </si>
  <si>
    <t xml:space="preserve">              * * Incluye todas las categorías de residente temporal: inversionistas, pensionados, rentistas, religiosos, ejecutivos, representantes, gerentes y personal técnico de empresas establecidas en el país, científicos, profesionales, deportistas, corresponsales y personal de prensa, reunificación  familiar.</t>
  </si>
  <si>
    <t xml:space="preserve">         ***     Incluye las residencias otorgadas bajo el Régimén de Excepción de 1999.</t>
  </si>
  <si>
    <t xml:space="preserve">             Planificación Institucional, cuadro elaborado con  información registrada en el Sistema Integrado de Extranjería (SINEX), Informes Anuales de la Dirección General de Migración y Extranjería.</t>
  </si>
  <si>
    <t xml:space="preserve">EXTRANJEROS RECONOCIDOS COMO REFUGIADOS  </t>
  </si>
  <si>
    <t>SEGÚN PAÍS DE ORIGEN</t>
  </si>
  <si>
    <t xml:space="preserve">DATOS ACUMULADOS </t>
  </si>
  <si>
    <t xml:space="preserve"> HASTA EL 31  DE  DICIEMBRE  2022</t>
  </si>
  <si>
    <t>PAÌS ORIGEN</t>
  </si>
  <si>
    <t>REFUGIADOS RECONOCIDOS</t>
  </si>
  <si>
    <t xml:space="preserve">  AFGANISTAN</t>
  </si>
  <si>
    <t xml:space="preserve">  ALEMANIA</t>
  </si>
  <si>
    <t xml:space="preserve">  ANGOLA</t>
  </si>
  <si>
    <t xml:space="preserve">  APATRIDA</t>
  </si>
  <si>
    <t xml:space="preserve">  ARGENTINA</t>
  </si>
  <si>
    <t xml:space="preserve">  ARMENIA</t>
  </si>
  <si>
    <t xml:space="preserve">  BANGLADESH</t>
  </si>
  <si>
    <t xml:space="preserve">  BIELORRUSIA</t>
  </si>
  <si>
    <t xml:space="preserve">  BOLIVIA</t>
  </si>
  <si>
    <t xml:space="preserve">  BRASIL</t>
  </si>
  <si>
    <t xml:space="preserve">  BULGARIA</t>
  </si>
  <si>
    <t xml:space="preserve">  CAMERUM</t>
  </si>
  <si>
    <t xml:space="preserve">  CHIPRE</t>
  </si>
  <si>
    <t xml:space="preserve">  COLOMBIA</t>
  </si>
  <si>
    <t xml:space="preserve">  COMORAS</t>
  </si>
  <si>
    <t xml:space="preserve">  COSTA DE MARFIL</t>
  </si>
  <si>
    <t xml:space="preserve">  CUBA</t>
  </si>
  <si>
    <t xml:space="preserve">  ECUADOR</t>
  </si>
  <si>
    <t xml:space="preserve">  EGIPTO</t>
  </si>
  <si>
    <t xml:space="preserve">  EL SALVADOR</t>
  </si>
  <si>
    <t xml:space="preserve">  ERITREA</t>
  </si>
  <si>
    <t xml:space="preserve">  ESTADOS UNIDOS</t>
  </si>
  <si>
    <t xml:space="preserve">  ETIOPIA</t>
  </si>
  <si>
    <t xml:space="preserve">  FEDERECION RUSA </t>
  </si>
  <si>
    <t xml:space="preserve">  GEORGIA</t>
  </si>
  <si>
    <t xml:space="preserve">  GHANA</t>
  </si>
  <si>
    <t xml:space="preserve">  GUATEMALA</t>
  </si>
  <si>
    <t xml:space="preserve">  HAITI</t>
  </si>
  <si>
    <t xml:space="preserve">  HONDURAS</t>
  </si>
  <si>
    <t xml:space="preserve">  INDIA</t>
  </si>
  <si>
    <t xml:space="preserve">  IRAK</t>
  </si>
  <si>
    <t xml:space="preserve">  IRAN</t>
  </si>
  <si>
    <t xml:space="preserve">  ISRAEL</t>
  </si>
  <si>
    <t xml:space="preserve">  ITALIA</t>
  </si>
  <si>
    <t xml:space="preserve">  LIBERIA</t>
  </si>
  <si>
    <t xml:space="preserve">  MEXICO</t>
  </si>
  <si>
    <t xml:space="preserve">  MOLDAVIA</t>
  </si>
  <si>
    <t xml:space="preserve">  NICARAGUA</t>
  </si>
  <si>
    <t xml:space="preserve">  NIGERIA</t>
  </si>
  <si>
    <t xml:space="preserve">  PAKISTAN</t>
  </si>
  <si>
    <t xml:space="preserve">  PANAMA</t>
  </si>
  <si>
    <t xml:space="preserve">  PERU</t>
  </si>
  <si>
    <t xml:space="preserve">  PORTUGAL</t>
  </si>
  <si>
    <t xml:space="preserve">  REP.  DOMINICANA</t>
  </si>
  <si>
    <t xml:space="preserve">  REP. DEM. POP.DEL CONGO</t>
  </si>
  <si>
    <t xml:space="preserve">  REP. DOMINICANA</t>
  </si>
  <si>
    <t xml:space="preserve">  REP. POP. DE CHINA</t>
  </si>
  <si>
    <t xml:space="preserve">  RUMANIA</t>
  </si>
  <si>
    <t xml:space="preserve">  SIERRA LEONA</t>
  </si>
  <si>
    <t xml:space="preserve">  SIRIA</t>
  </si>
  <si>
    <t xml:space="preserve">  SOMALIA</t>
  </si>
  <si>
    <t xml:space="preserve">  SRI LANKA</t>
  </si>
  <si>
    <t xml:space="preserve">  SUDAFRICA</t>
  </si>
  <si>
    <t xml:space="preserve">  SUDAN</t>
  </si>
  <si>
    <t xml:space="preserve">  TOGO</t>
  </si>
  <si>
    <t xml:space="preserve">  TURQUIA</t>
  </si>
  <si>
    <t xml:space="preserve">  UCRANIA</t>
  </si>
  <si>
    <t xml:space="preserve">  UGANDA</t>
  </si>
  <si>
    <t xml:space="preserve">  UZBEKISTAN</t>
  </si>
  <si>
    <t xml:space="preserve">  VENEZUELA</t>
  </si>
  <si>
    <t xml:space="preserve">            Planificación Institucional, cuadro elaborado con base en los datos registrados en el Sistema de Reportes de Refugiados y  Sistema Integrado de Extranjería (SINEX).</t>
  </si>
  <si>
    <t>HOMBRE</t>
  </si>
  <si>
    <t>MUJER</t>
  </si>
  <si>
    <t>APATRIDA</t>
  </si>
  <si>
    <t>ARGEL</t>
  </si>
  <si>
    <t>REP. CHECA</t>
  </si>
  <si>
    <t>REP. DE COREA</t>
  </si>
  <si>
    <t>REP. DE TAIWAN</t>
  </si>
  <si>
    <t>REP. DEM. DEL CONGO</t>
  </si>
  <si>
    <t>REP. HELENICA</t>
  </si>
  <si>
    <t>RUANDA</t>
  </si>
  <si>
    <t>SUAZILANDIA</t>
  </si>
  <si>
    <t>VIETNAN</t>
  </si>
  <si>
    <t>MAYOR</t>
  </si>
  <si>
    <t>MENOR</t>
  </si>
  <si>
    <t xml:space="preserve">SOLICITUDES APROBADAS  DE PERMANENCIA </t>
  </si>
  <si>
    <t>AÑO 2021</t>
  </si>
  <si>
    <t>(Datos generados el 11 de enero de 2022)</t>
  </si>
  <si>
    <t>CATEGEGORIA MIGRATORIA</t>
  </si>
  <si>
    <t>CATEGORÍA ESPECIAL *</t>
  </si>
  <si>
    <t xml:space="preserve">RESIDENTE </t>
  </si>
  <si>
    <t>TEMPORAL **</t>
  </si>
  <si>
    <t xml:space="preserve"> PERMANENTE</t>
  </si>
  <si>
    <t>(Datos generados el 25 de enero de 2023)</t>
  </si>
  <si>
    <t xml:space="preserve">        Notas: * Incluye  Subcategorías especiales: trabajadores temporales, trabajadores de ocupación específica, estudiante, asilados, refugiados, apatridas,  invitados especiales por razones de seguridad, testigos en procesos judiciales, artistas, deportistas e integrantes de espectáculos públicos, trabajadores ligados a proyectos específicos.</t>
  </si>
  <si>
    <t xml:space="preserve">              * * Incluye las Subcategorías de residente temporal: inversionistas, pensionados, rentistas, religiosos, ejecutivos, representantes, gerentes y personal técnico de empresas establecidas en el país, científicos, profesionales, deportistas, corresponsales y personal de prensa, reunificación  familiar.</t>
  </si>
  <si>
    <t xml:space="preserve">             Planificación Institucional, cuadro elaborado con  información registrada en el Sistema Integrado de Extranjería (SINEX)</t>
  </si>
  <si>
    <t xml:space="preserve">SEGÚN PAIS DE ORIGEN, CATEGORÍA MIGRATORIA Y SEXO </t>
  </si>
  <si>
    <t>SEGÚN PAIS DE ORIGEN, CATEGORÍA MIGRATORIA Y EDAD (MAYOR/MENOR)</t>
  </si>
  <si>
    <t xml:space="preserve">COSTA RICA </t>
  </si>
  <si>
    <t>RECONOCIMIENTO DE REFUGIO</t>
  </si>
  <si>
    <t>SEGÚN PAIS DE ORIGEN, SEXO Y EDAD (MAYO/MENOR)</t>
  </si>
  <si>
    <t xml:space="preserve">PAIS DE ORIGEN </t>
  </si>
  <si>
    <t>SEXO</t>
  </si>
  <si>
    <t>GUYANA FRANCESA</t>
  </si>
  <si>
    <t>RECONOCIMIENTOS DE REFUGIO</t>
  </si>
  <si>
    <t>SEGÚN PAIS DE ORIGEN,  SEXO  Y EDAD (MAYOR/MENOR)</t>
  </si>
  <si>
    <t>PAIS DE ORIGEN</t>
  </si>
  <si>
    <t>Planificación Institucional, cuadro elaborado con información registrada en el Sistema Integrado deExtranjería SINEX</t>
  </si>
  <si>
    <t>BAHREIN</t>
  </si>
  <si>
    <t>BENIN</t>
  </si>
  <si>
    <t>BERMUDA</t>
  </si>
  <si>
    <t>BHUTAN</t>
  </si>
  <si>
    <t>BUKINA FASO</t>
  </si>
  <si>
    <t>CIUDAD DEL VATICANO</t>
  </si>
  <si>
    <t>COMOROS</t>
  </si>
  <si>
    <t>DJIBOUTI</t>
  </si>
  <si>
    <t>GAMBIA</t>
  </si>
  <si>
    <t>IRAK</t>
  </si>
  <si>
    <t>ISLA CHRISTMAS</t>
  </si>
  <si>
    <t>ISLAS MARSHAL</t>
  </si>
  <si>
    <t>ISLAS TURKS Y CAICOS</t>
  </si>
  <si>
    <t>ISLAS VIRGENES (BRITANICAS)</t>
  </si>
  <si>
    <t>KOSOVO</t>
  </si>
  <si>
    <t>KYRGYSTAN</t>
  </si>
  <si>
    <t>MAURITANIA</t>
  </si>
  <si>
    <t>PALAU</t>
  </si>
  <si>
    <t>PAPUA NUEVA GUINEA</t>
  </si>
  <si>
    <t>SAMOA</t>
  </si>
  <si>
    <t>SANTO TOME Y PRINCIPE</t>
  </si>
  <si>
    <t>SERBIA</t>
  </si>
  <si>
    <t>SUDAN DEL SUR</t>
  </si>
  <si>
    <t>TUVALU</t>
  </si>
  <si>
    <t>MOVIMIENTO MIGRATORIO</t>
  </si>
  <si>
    <t>SEGÚN PUESTO MIGRATORIO, PAÍS DE ORIGEN Y TIPO DE MOVIMIENTO</t>
  </si>
  <si>
    <t>AEROPUERTO INTERNACIONAL</t>
  </si>
  <si>
    <t>COORD. POL. REG.PASO CANOAS</t>
  </si>
  <si>
    <t>OFIC. POL. REG.  SIXAOLA</t>
  </si>
  <si>
    <t>DANIEL ODUBER</t>
  </si>
  <si>
    <t>JUAN SANTAMARIA</t>
  </si>
  <si>
    <t>LIMÓN</t>
  </si>
  <si>
    <t>TOBIAS BOLAÑOS</t>
  </si>
  <si>
    <t>ING.</t>
  </si>
  <si>
    <t>EGR.</t>
  </si>
  <si>
    <t>AÑO 2022*</t>
  </si>
  <si>
    <t xml:space="preserve">BRUNEI </t>
  </si>
  <si>
    <t xml:space="preserve">REP. DEL CONGO </t>
  </si>
  <si>
    <t xml:space="preserve">REP. DEM. DEL CONGO </t>
  </si>
  <si>
    <t>REP. DE GUINEA</t>
  </si>
  <si>
    <t xml:space="preserve">LETONIA </t>
  </si>
  <si>
    <t>REP. CENTROAFRICANA</t>
  </si>
  <si>
    <t>REP. DE CHINA TAIWAN</t>
  </si>
  <si>
    <t>(Datos generados el  03 de  febrero de 2022)</t>
  </si>
  <si>
    <t>(Daos generado el 3 e febrero del 2023</t>
  </si>
  <si>
    <t>INGRESO</t>
  </si>
  <si>
    <t xml:space="preserve">EGRESO </t>
  </si>
  <si>
    <t>SOLICITUDES DE PERMANENCIA BAJA LA SUBCATEGORIA DE REFUGIO</t>
  </si>
  <si>
    <t>BARABADOS</t>
  </si>
  <si>
    <t>ESTIOPIA</t>
  </si>
  <si>
    <t>ISLAS FIJI</t>
  </si>
  <si>
    <t>KIRGISTAN</t>
  </si>
  <si>
    <t>PALAOS</t>
  </si>
  <si>
    <t>REP. COREA</t>
  </si>
  <si>
    <t>REP. DE CHINA</t>
  </si>
  <si>
    <t>REP. POP.- DEM. DE COREA</t>
  </si>
  <si>
    <t>SAN CRISTOBAL Y NIEVES</t>
  </si>
  <si>
    <t>SURINAN</t>
  </si>
  <si>
    <t>VANATU</t>
  </si>
  <si>
    <t>VIET NAN</t>
  </si>
  <si>
    <t xml:space="preserve">SOLICITUDES DE PERMANENCIA </t>
  </si>
  <si>
    <t xml:space="preserve">Mov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</si>
</sst>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99999"/>
      </left>
      <right/>
      <top/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</borders>
  <cellStyleXfs count="7">
    <xf numFmtId="0" fontId="0" fillId="0" borderId="0"/>
    <xf numFmtId="0" fontId="2" fillId="0" borderId="0"/>
    <xf numFmtId="0" fontId="2" fillId="0" borderId="0" applyProtection="0"/>
    <xf numFmtId="0" fontId="2" fillId="0" borderId="0"/>
    <xf numFmtId="9" fontId="11" fillId="0" borderId="0" applyFont="0" applyFill="0" applyBorder="0" applyAlignment="0" applyProtection="0"/>
    <xf numFmtId="0" fontId="11" fillId="0" borderId="0"/>
    <xf numFmtId="0" fontId="12" fillId="0" borderId="0">
      <alignment vertical="center"/>
    </xf>
  </cellStyleXfs>
  <cellXfs count="196">
    <xf numFmtId="0" fontId="0" fillId="0" borderId="0" xfId="0"/>
    <xf numFmtId="3" fontId="0" fillId="0" borderId="0" xfId="0" applyNumberFormat="1"/>
    <xf numFmtId="0" fontId="3" fillId="0" borderId="0" xfId="1" applyFont="1"/>
    <xf numFmtId="0" fontId="1" fillId="0" borderId="0" xfId="0" applyFont="1"/>
    <xf numFmtId="0" fontId="1" fillId="0" borderId="4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3" fontId="1" fillId="0" borderId="4" xfId="0" applyNumberFormat="1" applyFont="1" applyBorder="1"/>
    <xf numFmtId="3" fontId="1" fillId="0" borderId="7" xfId="0" applyNumberFormat="1" applyFont="1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 applyAlignment="1">
      <alignment horizontal="left" vertical="top"/>
    </xf>
    <xf numFmtId="0" fontId="0" fillId="0" borderId="0" xfId="0" applyNumberFormat="1" applyFill="1" applyBorder="1" applyAlignment="1">
      <alignment horizontal="left" vertical="top"/>
    </xf>
    <xf numFmtId="0" fontId="0" fillId="0" borderId="9" xfId="0" applyFill="1" applyBorder="1" applyAlignment="1">
      <alignment horizontal="left" vertical="top"/>
    </xf>
    <xf numFmtId="0" fontId="0" fillId="0" borderId="9" xfId="0" applyNumberForma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/>
    <xf numFmtId="0" fontId="5" fillId="3" borderId="1" xfId="0" applyFont="1" applyFill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6" fillId="0" borderId="6" xfId="0" applyFont="1" applyBorder="1"/>
    <xf numFmtId="0" fontId="5" fillId="0" borderId="10" xfId="0" applyFont="1" applyBorder="1" applyAlignment="1">
      <alignment horizontal="center"/>
    </xf>
    <xf numFmtId="3" fontId="6" fillId="0" borderId="4" xfId="0" applyNumberFormat="1" applyFont="1" applyBorder="1"/>
    <xf numFmtId="3" fontId="6" fillId="0" borderId="7" xfId="0" applyNumberFormat="1" applyFont="1" applyBorder="1"/>
    <xf numFmtId="0" fontId="6" fillId="0" borderId="10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10" xfId="0" applyFont="1" applyFill="1" applyBorder="1" applyAlignment="1">
      <alignment horizontal="left" vertical="top"/>
    </xf>
    <xf numFmtId="3" fontId="6" fillId="0" borderId="4" xfId="0" applyNumberFormat="1" applyFont="1" applyFill="1" applyBorder="1" applyAlignment="1">
      <alignment horizontal="right" vertical="top"/>
    </xf>
    <xf numFmtId="3" fontId="6" fillId="0" borderId="7" xfId="0" applyNumberFormat="1" applyFont="1" applyBorder="1" applyAlignment="1">
      <alignment horizontal="right"/>
    </xf>
    <xf numFmtId="0" fontId="6" fillId="0" borderId="11" xfId="0" applyFont="1" applyFill="1" applyBorder="1" applyAlignment="1">
      <alignment horizontal="left" vertical="top"/>
    </xf>
    <xf numFmtId="0" fontId="6" fillId="0" borderId="5" xfId="0" applyNumberFormat="1" applyFont="1" applyFill="1" applyBorder="1" applyAlignment="1">
      <alignment horizontal="left" vertical="top"/>
    </xf>
    <xf numFmtId="0" fontId="6" fillId="0" borderId="8" xfId="0" applyFont="1" applyBorder="1"/>
    <xf numFmtId="0" fontId="7" fillId="0" borderId="0" xfId="0" applyFont="1"/>
    <xf numFmtId="0" fontId="8" fillId="0" borderId="0" xfId="2" applyFont="1" applyFill="1" applyAlignment="1">
      <alignment horizontal="center"/>
    </xf>
    <xf numFmtId="0" fontId="8" fillId="2" borderId="1" xfId="2" applyFont="1" applyFill="1" applyBorder="1" applyAlignment="1">
      <alignment horizontal="center" vertical="center"/>
    </xf>
    <xf numFmtId="3" fontId="8" fillId="2" borderId="1" xfId="2" applyNumberFormat="1" applyFont="1" applyFill="1" applyBorder="1" applyAlignment="1">
      <alignment horizontal="centerContinuous"/>
    </xf>
    <xf numFmtId="0" fontId="8" fillId="2" borderId="2" xfId="2" applyFont="1" applyFill="1" applyBorder="1" applyAlignment="1">
      <alignment horizontal="center" vertical="center"/>
    </xf>
    <xf numFmtId="3" fontId="8" fillId="2" borderId="2" xfId="2" applyNumberFormat="1" applyFont="1" applyFill="1" applyBorder="1" applyAlignment="1">
      <alignment horizontal="center"/>
    </xf>
    <xf numFmtId="0" fontId="0" fillId="0" borderId="2" xfId="0" applyBorder="1"/>
    <xf numFmtId="0" fontId="0" fillId="0" borderId="12" xfId="0" applyBorder="1"/>
    <xf numFmtId="0" fontId="0" fillId="0" borderId="6" xfId="0" applyBorder="1"/>
    <xf numFmtId="0" fontId="1" fillId="2" borderId="10" xfId="0" applyFont="1" applyFill="1" applyBorder="1" applyAlignment="1">
      <alignment horizontal="center"/>
    </xf>
    <xf numFmtId="3" fontId="1" fillId="2" borderId="0" xfId="0" applyNumberFormat="1" applyFont="1" applyFill="1" applyBorder="1"/>
    <xf numFmtId="3" fontId="1" fillId="2" borderId="7" xfId="0" applyNumberFormat="1" applyFont="1" applyFill="1" applyBorder="1"/>
    <xf numFmtId="0" fontId="0" fillId="0" borderId="10" xfId="0" applyFill="1" applyBorder="1"/>
    <xf numFmtId="3" fontId="0" fillId="0" borderId="0" xfId="0" applyNumberFormat="1" applyFill="1" applyBorder="1"/>
    <xf numFmtId="3" fontId="1" fillId="0" borderId="7" xfId="0" applyNumberFormat="1" applyFont="1" applyFill="1" applyBorder="1"/>
    <xf numFmtId="3" fontId="0" fillId="0" borderId="0" xfId="0" applyNumberFormat="1" applyFill="1"/>
    <xf numFmtId="3" fontId="0" fillId="0" borderId="10" xfId="0" applyNumberFormat="1" applyFill="1" applyBorder="1"/>
    <xf numFmtId="3" fontId="9" fillId="0" borderId="0" xfId="0" applyNumberFormat="1" applyFont="1" applyFill="1" applyBorder="1"/>
    <xf numFmtId="0" fontId="10" fillId="0" borderId="13" xfId="0" applyFont="1" applyBorder="1" applyAlignment="1">
      <alignment vertical="center"/>
    </xf>
    <xf numFmtId="0" fontId="9" fillId="0" borderId="14" xfId="0" applyNumberFormat="1" applyFont="1" applyBorder="1"/>
    <xf numFmtId="0" fontId="9" fillId="0" borderId="0" xfId="0" applyNumberFormat="1" applyFont="1"/>
    <xf numFmtId="3" fontId="1" fillId="2" borderId="10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10" xfId="0" applyBorder="1"/>
    <xf numFmtId="3" fontId="0" fillId="0" borderId="0" xfId="0" applyNumberFormat="1" applyBorder="1"/>
    <xf numFmtId="3" fontId="0" fillId="2" borderId="0" xfId="0" applyNumberFormat="1" applyFont="1" applyFill="1" applyBorder="1"/>
    <xf numFmtId="3" fontId="0" fillId="2" borderId="7" xfId="0" applyNumberFormat="1" applyFont="1" applyFill="1" applyBorder="1"/>
    <xf numFmtId="0" fontId="0" fillId="0" borderId="11" xfId="0" applyBorder="1"/>
    <xf numFmtId="0" fontId="0" fillId="0" borderId="15" xfId="0" applyBorder="1"/>
    <xf numFmtId="0" fontId="2" fillId="0" borderId="0" xfId="1"/>
    <xf numFmtId="0" fontId="8" fillId="4" borderId="3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0" fontId="2" fillId="0" borderId="3" xfId="1" applyBorder="1"/>
    <xf numFmtId="3" fontId="2" fillId="0" borderId="2" xfId="1" applyNumberFormat="1" applyBorder="1"/>
    <xf numFmtId="0" fontId="8" fillId="0" borderId="4" xfId="1" applyFont="1" applyBorder="1" applyAlignment="1">
      <alignment horizontal="center"/>
    </xf>
    <xf numFmtId="3" fontId="1" fillId="0" borderId="10" xfId="0" applyNumberFormat="1" applyFont="1" applyBorder="1"/>
    <xf numFmtId="0" fontId="2" fillId="0" borderId="4" xfId="1" applyBorder="1"/>
    <xf numFmtId="3" fontId="2" fillId="0" borderId="10" xfId="1" applyNumberFormat="1" applyBorder="1"/>
    <xf numFmtId="3" fontId="0" fillId="0" borderId="10" xfId="0" applyNumberFormat="1" applyBorder="1"/>
    <xf numFmtId="3" fontId="2" fillId="0" borderId="11" xfId="1" applyNumberFormat="1" applyBorder="1"/>
    <xf numFmtId="0" fontId="2" fillId="0" borderId="0" xfId="1" applyBorder="1"/>
    <xf numFmtId="0" fontId="0" fillId="0" borderId="0" xfId="0" applyNumberForma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Border="1"/>
    <xf numFmtId="0" fontId="0" fillId="0" borderId="3" xfId="0" applyBorder="1"/>
    <xf numFmtId="3" fontId="1" fillId="0" borderId="0" xfId="0" applyNumberFormat="1" applyFont="1" applyBorder="1" applyAlignment="1"/>
    <xf numFmtId="0" fontId="0" fillId="0" borderId="0" xfId="0" applyNumberFormat="1" applyBorder="1"/>
    <xf numFmtId="0" fontId="0" fillId="0" borderId="3" xfId="0" applyBorder="1" applyAlignment="1"/>
    <xf numFmtId="0" fontId="0" fillId="0" borderId="12" xfId="0" applyBorder="1" applyAlignment="1"/>
    <xf numFmtId="3" fontId="1" fillId="0" borderId="4" xfId="0" applyNumberFormat="1" applyFont="1" applyBorder="1" applyAlignment="1"/>
    <xf numFmtId="3" fontId="1" fillId="0" borderId="7" xfId="0" applyNumberFormat="1" applyFont="1" applyBorder="1" applyAlignment="1"/>
    <xf numFmtId="0" fontId="0" fillId="0" borderId="4" xfId="0" applyNumberFormat="1" applyBorder="1"/>
    <xf numFmtId="0" fontId="0" fillId="0" borderId="7" xfId="0" applyNumberFormat="1" applyBorder="1"/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3" fontId="1" fillId="0" borderId="0" xfId="0" applyNumberFormat="1" applyFont="1" applyBorder="1"/>
    <xf numFmtId="0" fontId="0" fillId="0" borderId="5" xfId="0" applyNumberFormat="1" applyBorder="1"/>
    <xf numFmtId="0" fontId="0" fillId="0" borderId="15" xfId="0" applyNumberFormat="1" applyBorder="1"/>
    <xf numFmtId="0" fontId="0" fillId="0" borderId="8" xfId="0" applyNumberFormat="1" applyBorder="1"/>
    <xf numFmtId="0" fontId="3" fillId="0" borderId="0" xfId="3" applyFont="1" applyFill="1" applyBorder="1" applyAlignment="1">
      <alignment vertical="top" wrapText="1"/>
    </xf>
    <xf numFmtId="0" fontId="1" fillId="0" borderId="0" xfId="0" applyFont="1" applyFill="1" applyBorder="1"/>
    <xf numFmtId="3" fontId="1" fillId="0" borderId="0" xfId="0" applyNumberFormat="1" applyFont="1" applyFill="1" applyBorder="1"/>
    <xf numFmtId="0" fontId="0" fillId="0" borderId="2" xfId="0" applyFill="1" applyBorder="1"/>
    <xf numFmtId="0" fontId="1" fillId="0" borderId="10" xfId="0" applyFont="1" applyFill="1" applyBorder="1" applyAlignment="1">
      <alignment horizontal="center"/>
    </xf>
    <xf numFmtId="0" fontId="1" fillId="0" borderId="10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0" fontId="0" fillId="0" borderId="7" xfId="0" applyNumberFormat="1" applyFill="1" applyBorder="1"/>
    <xf numFmtId="0" fontId="0" fillId="0" borderId="11" xfId="0" applyFill="1" applyBorder="1"/>
    <xf numFmtId="0" fontId="0" fillId="0" borderId="15" xfId="0" applyNumberFormat="1" applyFill="1" applyBorder="1"/>
    <xf numFmtId="0" fontId="0" fillId="0" borderId="8" xfId="0" applyNumberFormat="1" applyFill="1" applyBorder="1"/>
    <xf numFmtId="0" fontId="7" fillId="0" borderId="4" xfId="0" applyFont="1" applyFill="1" applyBorder="1"/>
    <xf numFmtId="0" fontId="1" fillId="0" borderId="12" xfId="0" applyFont="1" applyFill="1" applyBorder="1" applyAlignment="1">
      <alignment horizontal="center"/>
    </xf>
    <xf numFmtId="3" fontId="1" fillId="0" borderId="9" xfId="0" applyNumberFormat="1" applyFont="1" applyFill="1" applyBorder="1"/>
    <xf numFmtId="3" fontId="1" fillId="0" borderId="0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  <xf numFmtId="3" fontId="1" fillId="0" borderId="19" xfId="0" applyNumberFormat="1" applyFont="1" applyFill="1" applyBorder="1"/>
    <xf numFmtId="3" fontId="1" fillId="0" borderId="20" xfId="0" applyNumberFormat="1" applyFont="1" applyFill="1" applyBorder="1"/>
    <xf numFmtId="3" fontId="1" fillId="0" borderId="4" xfId="0" applyNumberFormat="1" applyFont="1" applyFill="1" applyBorder="1" applyAlignment="1">
      <alignment horizontal="center"/>
    </xf>
    <xf numFmtId="3" fontId="1" fillId="0" borderId="7" xfId="0" applyNumberFormat="1" applyFont="1" applyFill="1" applyBorder="1" applyAlignment="1">
      <alignment horizontal="center" vertical="center"/>
    </xf>
    <xf numFmtId="3" fontId="0" fillId="0" borderId="4" xfId="0" applyNumberFormat="1" applyFill="1" applyBorder="1"/>
    <xf numFmtId="3" fontId="0" fillId="0" borderId="7" xfId="0" applyNumberFormat="1" applyFill="1" applyBorder="1"/>
    <xf numFmtId="0" fontId="0" fillId="0" borderId="5" xfId="0" applyFill="1" applyBorder="1"/>
    <xf numFmtId="0" fontId="0" fillId="0" borderId="15" xfId="0" applyFill="1" applyBorder="1"/>
    <xf numFmtId="0" fontId="0" fillId="0" borderId="8" xfId="0" applyFill="1" applyBorder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2" fillId="0" borderId="0" xfId="6">
      <alignment vertical="center"/>
    </xf>
    <xf numFmtId="0" fontId="4" fillId="6" borderId="2" xfId="5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0" xfId="0" applyBorder="1" applyAlignment="1">
      <alignment horizontal="left"/>
    </xf>
    <xf numFmtId="3" fontId="0" fillId="0" borderId="3" xfId="0" applyNumberFormat="1" applyBorder="1"/>
    <xf numFmtId="3" fontId="0" fillId="0" borderId="12" xfId="0" applyNumberFormat="1" applyBorder="1"/>
    <xf numFmtId="3" fontId="0" fillId="0" borderId="6" xfId="0" applyNumberFormat="1" applyBorder="1"/>
    <xf numFmtId="3" fontId="0" fillId="0" borderId="4" xfId="0" applyNumberFormat="1" applyBorder="1"/>
    <xf numFmtId="3" fontId="0" fillId="0" borderId="7" xfId="0" applyNumberFormat="1" applyBorder="1"/>
    <xf numFmtId="0" fontId="3" fillId="0" borderId="0" xfId="1" applyFont="1" applyAlignment="1">
      <alignment vertical="top" wrapText="1"/>
    </xf>
    <xf numFmtId="0" fontId="0" fillId="0" borderId="3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4" xfId="0" applyFill="1" applyBorder="1"/>
    <xf numFmtId="0" fontId="0" fillId="0" borderId="0" xfId="0" applyFill="1" applyBorder="1"/>
    <xf numFmtId="0" fontId="0" fillId="0" borderId="7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7" xfId="0" applyNumberFormat="1" applyFont="1" applyBorder="1"/>
    <xf numFmtId="0" fontId="8" fillId="0" borderId="0" xfId="2" applyFont="1" applyFill="1" applyAlignment="1">
      <alignment horizontal="center"/>
    </xf>
    <xf numFmtId="0" fontId="8" fillId="2" borderId="1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/>
    </xf>
    <xf numFmtId="0" fontId="3" fillId="0" borderId="0" xfId="3" applyFont="1" applyFill="1" applyBorder="1" applyAlignment="1">
      <alignment horizontal="justify" vertical="top" wrapText="1"/>
    </xf>
    <xf numFmtId="0" fontId="2" fillId="0" borderId="0" xfId="1" applyAlignment="1">
      <alignment horizontal="center"/>
    </xf>
    <xf numFmtId="0" fontId="3" fillId="0" borderId="0" xfId="1" applyFont="1" applyAlignment="1">
      <alignment horizontal="justify" vertical="top" wrapText="1"/>
    </xf>
    <xf numFmtId="0" fontId="8" fillId="0" borderId="0" xfId="1" applyFont="1" applyAlignment="1">
      <alignment horizontal="center"/>
    </xf>
    <xf numFmtId="0" fontId="7" fillId="0" borderId="4" xfId="0" applyFont="1" applyFill="1" applyBorder="1" applyAlignment="1">
      <alignment horizontal="justify" vertical="top" wrapText="1"/>
    </xf>
    <xf numFmtId="0" fontId="7" fillId="0" borderId="0" xfId="0" applyFont="1" applyFill="1" applyBorder="1" applyAlignment="1">
      <alignment horizontal="justify" vertical="top"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4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9" fontId="1" fillId="5" borderId="16" xfId="4" applyFont="1" applyFill="1" applyBorder="1" applyAlignment="1">
      <alignment horizontal="center" vertical="center"/>
    </xf>
    <xf numFmtId="9" fontId="1" fillId="5" borderId="17" xfId="4" applyFont="1" applyFill="1" applyBorder="1" applyAlignment="1">
      <alignment horizontal="center" vertical="center"/>
    </xf>
    <xf numFmtId="9" fontId="1" fillId="5" borderId="18" xfId="4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justify" vertical="top" wrapText="1"/>
    </xf>
    <xf numFmtId="0" fontId="4" fillId="6" borderId="1" xfId="5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4" fillId="6" borderId="1" xfId="5" applyFont="1" applyFill="1" applyBorder="1" applyAlignment="1">
      <alignment horizontal="center"/>
    </xf>
    <xf numFmtId="0" fontId="4" fillId="6" borderId="1" xfId="5" applyFont="1" applyFill="1" applyBorder="1" applyAlignment="1">
      <alignment horizontal="center" vertical="center"/>
    </xf>
    <xf numFmtId="0" fontId="4" fillId="6" borderId="2" xfId="5" applyFont="1" applyFill="1" applyBorder="1" applyAlignment="1">
      <alignment horizontal="center" vertical="center"/>
    </xf>
    <xf numFmtId="0" fontId="1" fillId="0" borderId="0" xfId="5" applyFont="1" applyAlignment="1">
      <alignment horizontal="center"/>
    </xf>
    <xf numFmtId="0" fontId="2" fillId="0" borderId="0" xfId="1" applyFont="1" applyAlignment="1">
      <alignment horizontal="center"/>
    </xf>
    <xf numFmtId="0" fontId="0" fillId="0" borderId="0" xfId="0" applyAlignment="1">
      <alignment horizontal="justify" vertical="top" wrapText="1"/>
    </xf>
    <xf numFmtId="0" fontId="1" fillId="2" borderId="1" xfId="0" applyFont="1" applyFill="1" applyBorder="1" applyAlignment="1">
      <alignment horizontal="center" vertical="center"/>
    </xf>
  </cellXfs>
  <cellStyles count="7">
    <cellStyle name="Normal" xfId="0" builtinId="0"/>
    <cellStyle name="Normal 2 2 2" xfId="1" xr:uid="{00000000-0005-0000-0000-000001000000}"/>
    <cellStyle name="Normal 2 4" xfId="5" xr:uid="{00000000-0005-0000-0000-000002000000}"/>
    <cellStyle name="Normal 2 5" xfId="6" xr:uid="{00000000-0005-0000-0000-000003000000}"/>
    <cellStyle name="Normal 4" xfId="3" xr:uid="{00000000-0005-0000-0000-000004000000}"/>
    <cellStyle name="Normal_Hoja1 2 2" xfId="2" xr:uid="{00000000-0005-0000-0000-000005000000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0"/>
  <sheetViews>
    <sheetView workbookViewId="0">
      <selection activeCell="K20" sqref="K20"/>
    </sheetView>
  </sheetViews>
  <sheetFormatPr baseColWidth="10" defaultColWidth="6.7109375" defaultRowHeight="15"/>
  <cols>
    <col min="1" max="1" width="28.140625" customWidth="1"/>
    <col min="2" max="2" width="17.28515625" customWidth="1"/>
    <col min="3" max="3" width="17" customWidth="1"/>
    <col min="4" max="4" width="17.5703125" customWidth="1"/>
    <col min="5" max="5" width="9.85546875" customWidth="1"/>
    <col min="6" max="6" width="7.42578125" bestFit="1" customWidth="1"/>
    <col min="257" max="257" width="28.140625" customWidth="1"/>
    <col min="258" max="258" width="17.28515625" customWidth="1"/>
    <col min="259" max="259" width="17" customWidth="1"/>
    <col min="260" max="260" width="17.5703125" customWidth="1"/>
    <col min="261" max="261" width="9.85546875" customWidth="1"/>
    <col min="262" max="262" width="7.42578125" bestFit="1" customWidth="1"/>
    <col min="513" max="513" width="28.140625" customWidth="1"/>
    <col min="514" max="514" width="17.28515625" customWidth="1"/>
    <col min="515" max="515" width="17" customWidth="1"/>
    <col min="516" max="516" width="17.5703125" customWidth="1"/>
    <col min="517" max="517" width="9.85546875" customWidth="1"/>
    <col min="518" max="518" width="7.42578125" bestFit="1" customWidth="1"/>
    <col min="769" max="769" width="28.140625" customWidth="1"/>
    <col min="770" max="770" width="17.28515625" customWidth="1"/>
    <col min="771" max="771" width="17" customWidth="1"/>
    <col min="772" max="772" width="17.5703125" customWidth="1"/>
    <col min="773" max="773" width="9.85546875" customWidth="1"/>
    <col min="774" max="774" width="7.42578125" bestFit="1" customWidth="1"/>
    <col min="1025" max="1025" width="28.140625" customWidth="1"/>
    <col min="1026" max="1026" width="17.28515625" customWidth="1"/>
    <col min="1027" max="1027" width="17" customWidth="1"/>
    <col min="1028" max="1028" width="17.5703125" customWidth="1"/>
    <col min="1029" max="1029" width="9.85546875" customWidth="1"/>
    <col min="1030" max="1030" width="7.42578125" bestFit="1" customWidth="1"/>
    <col min="1281" max="1281" width="28.140625" customWidth="1"/>
    <col min="1282" max="1282" width="17.28515625" customWidth="1"/>
    <col min="1283" max="1283" width="17" customWidth="1"/>
    <col min="1284" max="1284" width="17.5703125" customWidth="1"/>
    <col min="1285" max="1285" width="9.85546875" customWidth="1"/>
    <col min="1286" max="1286" width="7.42578125" bestFit="1" customWidth="1"/>
    <col min="1537" max="1537" width="28.140625" customWidth="1"/>
    <col min="1538" max="1538" width="17.28515625" customWidth="1"/>
    <col min="1539" max="1539" width="17" customWidth="1"/>
    <col min="1540" max="1540" width="17.5703125" customWidth="1"/>
    <col min="1541" max="1541" width="9.85546875" customWidth="1"/>
    <col min="1542" max="1542" width="7.42578125" bestFit="1" customWidth="1"/>
    <col min="1793" max="1793" width="28.140625" customWidth="1"/>
    <col min="1794" max="1794" width="17.28515625" customWidth="1"/>
    <col min="1795" max="1795" width="17" customWidth="1"/>
    <col min="1796" max="1796" width="17.5703125" customWidth="1"/>
    <col min="1797" max="1797" width="9.85546875" customWidth="1"/>
    <col min="1798" max="1798" width="7.42578125" bestFit="1" customWidth="1"/>
    <col min="2049" max="2049" width="28.140625" customWidth="1"/>
    <col min="2050" max="2050" width="17.28515625" customWidth="1"/>
    <col min="2051" max="2051" width="17" customWidth="1"/>
    <col min="2052" max="2052" width="17.5703125" customWidth="1"/>
    <col min="2053" max="2053" width="9.85546875" customWidth="1"/>
    <col min="2054" max="2054" width="7.42578125" bestFit="1" customWidth="1"/>
    <col min="2305" max="2305" width="28.140625" customWidth="1"/>
    <col min="2306" max="2306" width="17.28515625" customWidth="1"/>
    <col min="2307" max="2307" width="17" customWidth="1"/>
    <col min="2308" max="2308" width="17.5703125" customWidth="1"/>
    <col min="2309" max="2309" width="9.85546875" customWidth="1"/>
    <col min="2310" max="2310" width="7.42578125" bestFit="1" customWidth="1"/>
    <col min="2561" max="2561" width="28.140625" customWidth="1"/>
    <col min="2562" max="2562" width="17.28515625" customWidth="1"/>
    <col min="2563" max="2563" width="17" customWidth="1"/>
    <col min="2564" max="2564" width="17.5703125" customWidth="1"/>
    <col min="2565" max="2565" width="9.85546875" customWidth="1"/>
    <col min="2566" max="2566" width="7.42578125" bestFit="1" customWidth="1"/>
    <col min="2817" max="2817" width="28.140625" customWidth="1"/>
    <col min="2818" max="2818" width="17.28515625" customWidth="1"/>
    <col min="2819" max="2819" width="17" customWidth="1"/>
    <col min="2820" max="2820" width="17.5703125" customWidth="1"/>
    <col min="2821" max="2821" width="9.85546875" customWidth="1"/>
    <col min="2822" max="2822" width="7.42578125" bestFit="1" customWidth="1"/>
    <col min="3073" max="3073" width="28.140625" customWidth="1"/>
    <col min="3074" max="3074" width="17.28515625" customWidth="1"/>
    <col min="3075" max="3075" width="17" customWidth="1"/>
    <col min="3076" max="3076" width="17.5703125" customWidth="1"/>
    <col min="3077" max="3077" width="9.85546875" customWidth="1"/>
    <col min="3078" max="3078" width="7.42578125" bestFit="1" customWidth="1"/>
    <col min="3329" max="3329" width="28.140625" customWidth="1"/>
    <col min="3330" max="3330" width="17.28515625" customWidth="1"/>
    <col min="3331" max="3331" width="17" customWidth="1"/>
    <col min="3332" max="3332" width="17.5703125" customWidth="1"/>
    <col min="3333" max="3333" width="9.85546875" customWidth="1"/>
    <col min="3334" max="3334" width="7.42578125" bestFit="1" customWidth="1"/>
    <col min="3585" max="3585" width="28.140625" customWidth="1"/>
    <col min="3586" max="3586" width="17.28515625" customWidth="1"/>
    <col min="3587" max="3587" width="17" customWidth="1"/>
    <col min="3588" max="3588" width="17.5703125" customWidth="1"/>
    <col min="3589" max="3589" width="9.85546875" customWidth="1"/>
    <col min="3590" max="3590" width="7.42578125" bestFit="1" customWidth="1"/>
    <col min="3841" max="3841" width="28.140625" customWidth="1"/>
    <col min="3842" max="3842" width="17.28515625" customWidth="1"/>
    <col min="3843" max="3843" width="17" customWidth="1"/>
    <col min="3844" max="3844" width="17.5703125" customWidth="1"/>
    <col min="3845" max="3845" width="9.85546875" customWidth="1"/>
    <col min="3846" max="3846" width="7.42578125" bestFit="1" customWidth="1"/>
    <col min="4097" max="4097" width="28.140625" customWidth="1"/>
    <col min="4098" max="4098" width="17.28515625" customWidth="1"/>
    <col min="4099" max="4099" width="17" customWidth="1"/>
    <col min="4100" max="4100" width="17.5703125" customWidth="1"/>
    <col min="4101" max="4101" width="9.85546875" customWidth="1"/>
    <col min="4102" max="4102" width="7.42578125" bestFit="1" customWidth="1"/>
    <col min="4353" max="4353" width="28.140625" customWidth="1"/>
    <col min="4354" max="4354" width="17.28515625" customWidth="1"/>
    <col min="4355" max="4355" width="17" customWidth="1"/>
    <col min="4356" max="4356" width="17.5703125" customWidth="1"/>
    <col min="4357" max="4357" width="9.85546875" customWidth="1"/>
    <col min="4358" max="4358" width="7.42578125" bestFit="1" customWidth="1"/>
    <col min="4609" max="4609" width="28.140625" customWidth="1"/>
    <col min="4610" max="4610" width="17.28515625" customWidth="1"/>
    <col min="4611" max="4611" width="17" customWidth="1"/>
    <col min="4612" max="4612" width="17.5703125" customWidth="1"/>
    <col min="4613" max="4613" width="9.85546875" customWidth="1"/>
    <col min="4614" max="4614" width="7.42578125" bestFit="1" customWidth="1"/>
    <col min="4865" max="4865" width="28.140625" customWidth="1"/>
    <col min="4866" max="4866" width="17.28515625" customWidth="1"/>
    <col min="4867" max="4867" width="17" customWidth="1"/>
    <col min="4868" max="4868" width="17.5703125" customWidth="1"/>
    <col min="4869" max="4869" width="9.85546875" customWidth="1"/>
    <col min="4870" max="4870" width="7.42578125" bestFit="1" customWidth="1"/>
    <col min="5121" max="5121" width="28.140625" customWidth="1"/>
    <col min="5122" max="5122" width="17.28515625" customWidth="1"/>
    <col min="5123" max="5123" width="17" customWidth="1"/>
    <col min="5124" max="5124" width="17.5703125" customWidth="1"/>
    <col min="5125" max="5125" width="9.85546875" customWidth="1"/>
    <col min="5126" max="5126" width="7.42578125" bestFit="1" customWidth="1"/>
    <col min="5377" max="5377" width="28.140625" customWidth="1"/>
    <col min="5378" max="5378" width="17.28515625" customWidth="1"/>
    <col min="5379" max="5379" width="17" customWidth="1"/>
    <col min="5380" max="5380" width="17.5703125" customWidth="1"/>
    <col min="5381" max="5381" width="9.85546875" customWidth="1"/>
    <col min="5382" max="5382" width="7.42578125" bestFit="1" customWidth="1"/>
    <col min="5633" max="5633" width="28.140625" customWidth="1"/>
    <col min="5634" max="5634" width="17.28515625" customWidth="1"/>
    <col min="5635" max="5635" width="17" customWidth="1"/>
    <col min="5636" max="5636" width="17.5703125" customWidth="1"/>
    <col min="5637" max="5637" width="9.85546875" customWidth="1"/>
    <col min="5638" max="5638" width="7.42578125" bestFit="1" customWidth="1"/>
    <col min="5889" max="5889" width="28.140625" customWidth="1"/>
    <col min="5890" max="5890" width="17.28515625" customWidth="1"/>
    <col min="5891" max="5891" width="17" customWidth="1"/>
    <col min="5892" max="5892" width="17.5703125" customWidth="1"/>
    <col min="5893" max="5893" width="9.85546875" customWidth="1"/>
    <col min="5894" max="5894" width="7.42578125" bestFit="1" customWidth="1"/>
    <col min="6145" max="6145" width="28.140625" customWidth="1"/>
    <col min="6146" max="6146" width="17.28515625" customWidth="1"/>
    <col min="6147" max="6147" width="17" customWidth="1"/>
    <col min="6148" max="6148" width="17.5703125" customWidth="1"/>
    <col min="6149" max="6149" width="9.85546875" customWidth="1"/>
    <col min="6150" max="6150" width="7.42578125" bestFit="1" customWidth="1"/>
    <col min="6401" max="6401" width="28.140625" customWidth="1"/>
    <col min="6402" max="6402" width="17.28515625" customWidth="1"/>
    <col min="6403" max="6403" width="17" customWidth="1"/>
    <col min="6404" max="6404" width="17.5703125" customWidth="1"/>
    <col min="6405" max="6405" width="9.85546875" customWidth="1"/>
    <col min="6406" max="6406" width="7.42578125" bestFit="1" customWidth="1"/>
    <col min="6657" max="6657" width="28.140625" customWidth="1"/>
    <col min="6658" max="6658" width="17.28515625" customWidth="1"/>
    <col min="6659" max="6659" width="17" customWidth="1"/>
    <col min="6660" max="6660" width="17.5703125" customWidth="1"/>
    <col min="6661" max="6661" width="9.85546875" customWidth="1"/>
    <col min="6662" max="6662" width="7.42578125" bestFit="1" customWidth="1"/>
    <col min="6913" max="6913" width="28.140625" customWidth="1"/>
    <col min="6914" max="6914" width="17.28515625" customWidth="1"/>
    <col min="6915" max="6915" width="17" customWidth="1"/>
    <col min="6916" max="6916" width="17.5703125" customWidth="1"/>
    <col min="6917" max="6917" width="9.85546875" customWidth="1"/>
    <col min="6918" max="6918" width="7.42578125" bestFit="1" customWidth="1"/>
    <col min="7169" max="7169" width="28.140625" customWidth="1"/>
    <col min="7170" max="7170" width="17.28515625" customWidth="1"/>
    <col min="7171" max="7171" width="17" customWidth="1"/>
    <col min="7172" max="7172" width="17.5703125" customWidth="1"/>
    <col min="7173" max="7173" width="9.85546875" customWidth="1"/>
    <col min="7174" max="7174" width="7.42578125" bestFit="1" customWidth="1"/>
    <col min="7425" max="7425" width="28.140625" customWidth="1"/>
    <col min="7426" max="7426" width="17.28515625" customWidth="1"/>
    <col min="7427" max="7427" width="17" customWidth="1"/>
    <col min="7428" max="7428" width="17.5703125" customWidth="1"/>
    <col min="7429" max="7429" width="9.85546875" customWidth="1"/>
    <col min="7430" max="7430" width="7.42578125" bestFit="1" customWidth="1"/>
    <col min="7681" max="7681" width="28.140625" customWidth="1"/>
    <col min="7682" max="7682" width="17.28515625" customWidth="1"/>
    <col min="7683" max="7683" width="17" customWidth="1"/>
    <col min="7684" max="7684" width="17.5703125" customWidth="1"/>
    <col min="7685" max="7685" width="9.85546875" customWidth="1"/>
    <col min="7686" max="7686" width="7.42578125" bestFit="1" customWidth="1"/>
    <col min="7937" max="7937" width="28.140625" customWidth="1"/>
    <col min="7938" max="7938" width="17.28515625" customWidth="1"/>
    <col min="7939" max="7939" width="17" customWidth="1"/>
    <col min="7940" max="7940" width="17.5703125" customWidth="1"/>
    <col min="7941" max="7941" width="9.85546875" customWidth="1"/>
    <col min="7942" max="7942" width="7.42578125" bestFit="1" customWidth="1"/>
    <col min="8193" max="8193" width="28.140625" customWidth="1"/>
    <col min="8194" max="8194" width="17.28515625" customWidth="1"/>
    <col min="8195" max="8195" width="17" customWidth="1"/>
    <col min="8196" max="8196" width="17.5703125" customWidth="1"/>
    <col min="8197" max="8197" width="9.85546875" customWidth="1"/>
    <col min="8198" max="8198" width="7.42578125" bestFit="1" customWidth="1"/>
    <col min="8449" max="8449" width="28.140625" customWidth="1"/>
    <col min="8450" max="8450" width="17.28515625" customWidth="1"/>
    <col min="8451" max="8451" width="17" customWidth="1"/>
    <col min="8452" max="8452" width="17.5703125" customWidth="1"/>
    <col min="8453" max="8453" width="9.85546875" customWidth="1"/>
    <col min="8454" max="8454" width="7.42578125" bestFit="1" customWidth="1"/>
    <col min="8705" max="8705" width="28.140625" customWidth="1"/>
    <col min="8706" max="8706" width="17.28515625" customWidth="1"/>
    <col min="8707" max="8707" width="17" customWidth="1"/>
    <col min="8708" max="8708" width="17.5703125" customWidth="1"/>
    <col min="8709" max="8709" width="9.85546875" customWidth="1"/>
    <col min="8710" max="8710" width="7.42578125" bestFit="1" customWidth="1"/>
    <col min="8961" max="8961" width="28.140625" customWidth="1"/>
    <col min="8962" max="8962" width="17.28515625" customWidth="1"/>
    <col min="8963" max="8963" width="17" customWidth="1"/>
    <col min="8964" max="8964" width="17.5703125" customWidth="1"/>
    <col min="8965" max="8965" width="9.85546875" customWidth="1"/>
    <col min="8966" max="8966" width="7.42578125" bestFit="1" customWidth="1"/>
    <col min="9217" max="9217" width="28.140625" customWidth="1"/>
    <col min="9218" max="9218" width="17.28515625" customWidth="1"/>
    <col min="9219" max="9219" width="17" customWidth="1"/>
    <col min="9220" max="9220" width="17.5703125" customWidth="1"/>
    <col min="9221" max="9221" width="9.85546875" customWidth="1"/>
    <col min="9222" max="9222" width="7.42578125" bestFit="1" customWidth="1"/>
    <col min="9473" max="9473" width="28.140625" customWidth="1"/>
    <col min="9474" max="9474" width="17.28515625" customWidth="1"/>
    <col min="9475" max="9475" width="17" customWidth="1"/>
    <col min="9476" max="9476" width="17.5703125" customWidth="1"/>
    <col min="9477" max="9477" width="9.85546875" customWidth="1"/>
    <col min="9478" max="9478" width="7.42578125" bestFit="1" customWidth="1"/>
    <col min="9729" max="9729" width="28.140625" customWidth="1"/>
    <col min="9730" max="9730" width="17.28515625" customWidth="1"/>
    <col min="9731" max="9731" width="17" customWidth="1"/>
    <col min="9732" max="9732" width="17.5703125" customWidth="1"/>
    <col min="9733" max="9733" width="9.85546875" customWidth="1"/>
    <col min="9734" max="9734" width="7.42578125" bestFit="1" customWidth="1"/>
    <col min="9985" max="9985" width="28.140625" customWidth="1"/>
    <col min="9986" max="9986" width="17.28515625" customWidth="1"/>
    <col min="9987" max="9987" width="17" customWidth="1"/>
    <col min="9988" max="9988" width="17.5703125" customWidth="1"/>
    <col min="9989" max="9989" width="9.85546875" customWidth="1"/>
    <col min="9990" max="9990" width="7.42578125" bestFit="1" customWidth="1"/>
    <col min="10241" max="10241" width="28.140625" customWidth="1"/>
    <col min="10242" max="10242" width="17.28515625" customWidth="1"/>
    <col min="10243" max="10243" width="17" customWidth="1"/>
    <col min="10244" max="10244" width="17.5703125" customWidth="1"/>
    <col min="10245" max="10245" width="9.85546875" customWidth="1"/>
    <col min="10246" max="10246" width="7.42578125" bestFit="1" customWidth="1"/>
    <col min="10497" max="10497" width="28.140625" customWidth="1"/>
    <col min="10498" max="10498" width="17.28515625" customWidth="1"/>
    <col min="10499" max="10499" width="17" customWidth="1"/>
    <col min="10500" max="10500" width="17.5703125" customWidth="1"/>
    <col min="10501" max="10501" width="9.85546875" customWidth="1"/>
    <col min="10502" max="10502" width="7.42578125" bestFit="1" customWidth="1"/>
    <col min="10753" max="10753" width="28.140625" customWidth="1"/>
    <col min="10754" max="10754" width="17.28515625" customWidth="1"/>
    <col min="10755" max="10755" width="17" customWidth="1"/>
    <col min="10756" max="10756" width="17.5703125" customWidth="1"/>
    <col min="10757" max="10757" width="9.85546875" customWidth="1"/>
    <col min="10758" max="10758" width="7.42578125" bestFit="1" customWidth="1"/>
    <col min="11009" max="11009" width="28.140625" customWidth="1"/>
    <col min="11010" max="11010" width="17.28515625" customWidth="1"/>
    <col min="11011" max="11011" width="17" customWidth="1"/>
    <col min="11012" max="11012" width="17.5703125" customWidth="1"/>
    <col min="11013" max="11013" width="9.85546875" customWidth="1"/>
    <col min="11014" max="11014" width="7.42578125" bestFit="1" customWidth="1"/>
    <col min="11265" max="11265" width="28.140625" customWidth="1"/>
    <col min="11266" max="11266" width="17.28515625" customWidth="1"/>
    <col min="11267" max="11267" width="17" customWidth="1"/>
    <col min="11268" max="11268" width="17.5703125" customWidth="1"/>
    <col min="11269" max="11269" width="9.85546875" customWidth="1"/>
    <col min="11270" max="11270" width="7.42578125" bestFit="1" customWidth="1"/>
    <col min="11521" max="11521" width="28.140625" customWidth="1"/>
    <col min="11522" max="11522" width="17.28515625" customWidth="1"/>
    <col min="11523" max="11523" width="17" customWidth="1"/>
    <col min="11524" max="11524" width="17.5703125" customWidth="1"/>
    <col min="11525" max="11525" width="9.85546875" customWidth="1"/>
    <col min="11526" max="11526" width="7.42578125" bestFit="1" customWidth="1"/>
    <col min="11777" max="11777" width="28.140625" customWidth="1"/>
    <col min="11778" max="11778" width="17.28515625" customWidth="1"/>
    <col min="11779" max="11779" width="17" customWidth="1"/>
    <col min="11780" max="11780" width="17.5703125" customWidth="1"/>
    <col min="11781" max="11781" width="9.85546875" customWidth="1"/>
    <col min="11782" max="11782" width="7.42578125" bestFit="1" customWidth="1"/>
    <col min="12033" max="12033" width="28.140625" customWidth="1"/>
    <col min="12034" max="12034" width="17.28515625" customWidth="1"/>
    <col min="12035" max="12035" width="17" customWidth="1"/>
    <col min="12036" max="12036" width="17.5703125" customWidth="1"/>
    <col min="12037" max="12037" width="9.85546875" customWidth="1"/>
    <col min="12038" max="12038" width="7.42578125" bestFit="1" customWidth="1"/>
    <col min="12289" max="12289" width="28.140625" customWidth="1"/>
    <col min="12290" max="12290" width="17.28515625" customWidth="1"/>
    <col min="12291" max="12291" width="17" customWidth="1"/>
    <col min="12292" max="12292" width="17.5703125" customWidth="1"/>
    <col min="12293" max="12293" width="9.85546875" customWidth="1"/>
    <col min="12294" max="12294" width="7.42578125" bestFit="1" customWidth="1"/>
    <col min="12545" max="12545" width="28.140625" customWidth="1"/>
    <col min="12546" max="12546" width="17.28515625" customWidth="1"/>
    <col min="12547" max="12547" width="17" customWidth="1"/>
    <col min="12548" max="12548" width="17.5703125" customWidth="1"/>
    <col min="12549" max="12549" width="9.85546875" customWidth="1"/>
    <col min="12550" max="12550" width="7.42578125" bestFit="1" customWidth="1"/>
    <col min="12801" max="12801" width="28.140625" customWidth="1"/>
    <col min="12802" max="12802" width="17.28515625" customWidth="1"/>
    <col min="12803" max="12803" width="17" customWidth="1"/>
    <col min="12804" max="12804" width="17.5703125" customWidth="1"/>
    <col min="12805" max="12805" width="9.85546875" customWidth="1"/>
    <col min="12806" max="12806" width="7.42578125" bestFit="1" customWidth="1"/>
    <col min="13057" max="13057" width="28.140625" customWidth="1"/>
    <col min="13058" max="13058" width="17.28515625" customWidth="1"/>
    <col min="13059" max="13059" width="17" customWidth="1"/>
    <col min="13060" max="13060" width="17.5703125" customWidth="1"/>
    <col min="13061" max="13061" width="9.85546875" customWidth="1"/>
    <col min="13062" max="13062" width="7.42578125" bestFit="1" customWidth="1"/>
    <col min="13313" max="13313" width="28.140625" customWidth="1"/>
    <col min="13314" max="13314" width="17.28515625" customWidth="1"/>
    <col min="13315" max="13315" width="17" customWidth="1"/>
    <col min="13316" max="13316" width="17.5703125" customWidth="1"/>
    <col min="13317" max="13317" width="9.85546875" customWidth="1"/>
    <col min="13318" max="13318" width="7.42578125" bestFit="1" customWidth="1"/>
    <col min="13569" max="13569" width="28.140625" customWidth="1"/>
    <col min="13570" max="13570" width="17.28515625" customWidth="1"/>
    <col min="13571" max="13571" width="17" customWidth="1"/>
    <col min="13572" max="13572" width="17.5703125" customWidth="1"/>
    <col min="13573" max="13573" width="9.85546875" customWidth="1"/>
    <col min="13574" max="13574" width="7.42578125" bestFit="1" customWidth="1"/>
    <col min="13825" max="13825" width="28.140625" customWidth="1"/>
    <col min="13826" max="13826" width="17.28515625" customWidth="1"/>
    <col min="13827" max="13827" width="17" customWidth="1"/>
    <col min="13828" max="13828" width="17.5703125" customWidth="1"/>
    <col min="13829" max="13829" width="9.85546875" customWidth="1"/>
    <col min="13830" max="13830" width="7.42578125" bestFit="1" customWidth="1"/>
    <col min="14081" max="14081" width="28.140625" customWidth="1"/>
    <col min="14082" max="14082" width="17.28515625" customWidth="1"/>
    <col min="14083" max="14083" width="17" customWidth="1"/>
    <col min="14084" max="14084" width="17.5703125" customWidth="1"/>
    <col min="14085" max="14085" width="9.85546875" customWidth="1"/>
    <col min="14086" max="14086" width="7.42578125" bestFit="1" customWidth="1"/>
    <col min="14337" max="14337" width="28.140625" customWidth="1"/>
    <col min="14338" max="14338" width="17.28515625" customWidth="1"/>
    <col min="14339" max="14339" width="17" customWidth="1"/>
    <col min="14340" max="14340" width="17.5703125" customWidth="1"/>
    <col min="14341" max="14341" width="9.85546875" customWidth="1"/>
    <col min="14342" max="14342" width="7.42578125" bestFit="1" customWidth="1"/>
    <col min="14593" max="14593" width="28.140625" customWidth="1"/>
    <col min="14594" max="14594" width="17.28515625" customWidth="1"/>
    <col min="14595" max="14595" width="17" customWidth="1"/>
    <col min="14596" max="14596" width="17.5703125" customWidth="1"/>
    <col min="14597" max="14597" width="9.85546875" customWidth="1"/>
    <col min="14598" max="14598" width="7.42578125" bestFit="1" customWidth="1"/>
    <col min="14849" max="14849" width="28.140625" customWidth="1"/>
    <col min="14850" max="14850" width="17.28515625" customWidth="1"/>
    <col min="14851" max="14851" width="17" customWidth="1"/>
    <col min="14852" max="14852" width="17.5703125" customWidth="1"/>
    <col min="14853" max="14853" width="9.85546875" customWidth="1"/>
    <col min="14854" max="14854" width="7.42578125" bestFit="1" customWidth="1"/>
    <col min="15105" max="15105" width="28.140625" customWidth="1"/>
    <col min="15106" max="15106" width="17.28515625" customWidth="1"/>
    <col min="15107" max="15107" width="17" customWidth="1"/>
    <col min="15108" max="15108" width="17.5703125" customWidth="1"/>
    <col min="15109" max="15109" width="9.85546875" customWidth="1"/>
    <col min="15110" max="15110" width="7.42578125" bestFit="1" customWidth="1"/>
    <col min="15361" max="15361" width="28.140625" customWidth="1"/>
    <col min="15362" max="15362" width="17.28515625" customWidth="1"/>
    <col min="15363" max="15363" width="17" customWidth="1"/>
    <col min="15364" max="15364" width="17.5703125" customWidth="1"/>
    <col min="15365" max="15365" width="9.85546875" customWidth="1"/>
    <col min="15366" max="15366" width="7.42578125" bestFit="1" customWidth="1"/>
    <col min="15617" max="15617" width="28.140625" customWidth="1"/>
    <col min="15618" max="15618" width="17.28515625" customWidth="1"/>
    <col min="15619" max="15619" width="17" customWidth="1"/>
    <col min="15620" max="15620" width="17.5703125" customWidth="1"/>
    <col min="15621" max="15621" width="9.85546875" customWidth="1"/>
    <col min="15622" max="15622" width="7.42578125" bestFit="1" customWidth="1"/>
    <col min="15873" max="15873" width="28.140625" customWidth="1"/>
    <col min="15874" max="15874" width="17.28515625" customWidth="1"/>
    <col min="15875" max="15875" width="17" customWidth="1"/>
    <col min="15876" max="15876" width="17.5703125" customWidth="1"/>
    <col min="15877" max="15877" width="9.85546875" customWidth="1"/>
    <col min="15878" max="15878" width="7.42578125" bestFit="1" customWidth="1"/>
    <col min="16129" max="16129" width="28.140625" customWidth="1"/>
    <col min="16130" max="16130" width="17.28515625" customWidth="1"/>
    <col min="16131" max="16131" width="17" customWidth="1"/>
    <col min="16132" max="16132" width="17.5703125" customWidth="1"/>
    <col min="16133" max="16133" width="9.85546875" customWidth="1"/>
    <col min="16134" max="16134" width="7.42578125" bestFit="1" customWidth="1"/>
  </cols>
  <sheetData>
    <row r="1" spans="1:5">
      <c r="A1" s="143" t="s">
        <v>40</v>
      </c>
      <c r="B1" s="143"/>
      <c r="C1" s="143"/>
      <c r="D1" s="143"/>
      <c r="E1" s="143"/>
    </row>
    <row r="2" spans="1:5">
      <c r="A2" s="143" t="s">
        <v>41</v>
      </c>
      <c r="B2" s="143"/>
      <c r="C2" s="143"/>
      <c r="D2" s="143"/>
      <c r="E2" s="143"/>
    </row>
    <row r="3" spans="1:5">
      <c r="A3" s="143" t="s">
        <v>42</v>
      </c>
      <c r="B3" s="143"/>
      <c r="C3" s="143"/>
      <c r="D3" s="143"/>
      <c r="E3" s="143"/>
    </row>
    <row r="4" spans="1:5">
      <c r="A4" s="143"/>
      <c r="B4" s="143"/>
      <c r="C4" s="143"/>
      <c r="D4" s="143"/>
      <c r="E4" s="143"/>
    </row>
    <row r="5" spans="1:5">
      <c r="A5" s="34"/>
      <c r="B5" s="34"/>
      <c r="C5" s="34"/>
      <c r="D5" s="34"/>
      <c r="E5" s="34"/>
    </row>
    <row r="6" spans="1:5">
      <c r="A6" s="144" t="s">
        <v>43</v>
      </c>
      <c r="B6" s="35" t="s">
        <v>44</v>
      </c>
      <c r="C6" s="36" t="s">
        <v>45</v>
      </c>
      <c r="D6" s="36"/>
      <c r="E6" s="146" t="s">
        <v>0</v>
      </c>
    </row>
    <row r="7" spans="1:5">
      <c r="A7" s="145"/>
      <c r="B7" s="37" t="s">
        <v>46</v>
      </c>
      <c r="C7" s="38" t="s">
        <v>47</v>
      </c>
      <c r="D7" s="38" t="s">
        <v>48</v>
      </c>
      <c r="E7" s="147"/>
    </row>
    <row r="8" spans="1:5">
      <c r="A8" s="39"/>
      <c r="B8" s="40"/>
      <c r="C8" s="40"/>
      <c r="D8" s="40"/>
      <c r="E8" s="41"/>
    </row>
    <row r="9" spans="1:5">
      <c r="A9" s="42" t="s">
        <v>49</v>
      </c>
      <c r="B9" s="43">
        <f>B11+B66+B110+B161+B209+B222</f>
        <v>119414</v>
      </c>
      <c r="C9" s="43">
        <f>C11+C66+C110+C161+C209+C222</f>
        <v>81108</v>
      </c>
      <c r="D9" s="43">
        <f>D11+D66+D110+D161+D209+D222</f>
        <v>407250</v>
      </c>
      <c r="E9" s="44">
        <f>E11+E66+E110+E161+E209+E222</f>
        <v>607772</v>
      </c>
    </row>
    <row r="10" spans="1:5" s="48" customFormat="1">
      <c r="A10" s="45"/>
      <c r="B10" s="46"/>
      <c r="C10" s="46"/>
      <c r="D10" s="46"/>
      <c r="E10" s="47"/>
    </row>
    <row r="11" spans="1:5" s="1" customFormat="1">
      <c r="A11" s="42" t="s">
        <v>50</v>
      </c>
      <c r="B11" s="43">
        <f>SUM(B12:B64)</f>
        <v>689</v>
      </c>
      <c r="C11" s="43">
        <f>SUM(C12:C64)</f>
        <v>180</v>
      </c>
      <c r="D11" s="43">
        <f>SUM(D12:D64)</f>
        <v>184</v>
      </c>
      <c r="E11" s="44">
        <f>SUM(E12:E64)</f>
        <v>1053</v>
      </c>
    </row>
    <row r="12" spans="1:5" s="1" customFormat="1">
      <c r="A12" s="49" t="s">
        <v>51</v>
      </c>
      <c r="B12" s="50">
        <v>0</v>
      </c>
      <c r="C12" s="50">
        <v>3</v>
      </c>
      <c r="D12" s="50">
        <v>4</v>
      </c>
      <c r="E12" s="47">
        <f>B12+C12+D12</f>
        <v>7</v>
      </c>
    </row>
    <row r="13" spans="1:5" s="1" customFormat="1">
      <c r="A13" s="49" t="s">
        <v>52</v>
      </c>
      <c r="B13" s="50">
        <v>3</v>
      </c>
      <c r="C13" s="50">
        <v>1</v>
      </c>
      <c r="D13" s="50">
        <v>3</v>
      </c>
      <c r="E13" s="47">
        <f t="shared" ref="E13:E64" si="0">B13+C13+D13</f>
        <v>7</v>
      </c>
    </row>
    <row r="14" spans="1:5" s="1" customFormat="1">
      <c r="A14" s="49" t="s">
        <v>53</v>
      </c>
      <c r="B14" s="50">
        <v>4</v>
      </c>
      <c r="C14" s="50">
        <v>8</v>
      </c>
      <c r="D14" s="50">
        <v>10</v>
      </c>
      <c r="E14" s="47">
        <f t="shared" si="0"/>
        <v>22</v>
      </c>
    </row>
    <row r="15" spans="1:5" s="1" customFormat="1">
      <c r="A15" s="49" t="s">
        <v>54</v>
      </c>
      <c r="B15" s="50">
        <v>1</v>
      </c>
      <c r="C15" s="50">
        <v>1</v>
      </c>
      <c r="D15" s="50">
        <v>1</v>
      </c>
      <c r="E15" s="47">
        <f t="shared" si="0"/>
        <v>3</v>
      </c>
    </row>
    <row r="16" spans="1:5" s="1" customFormat="1">
      <c r="A16" s="49" t="s">
        <v>55</v>
      </c>
      <c r="B16" s="50">
        <v>4</v>
      </c>
      <c r="C16" s="50">
        <v>0</v>
      </c>
      <c r="D16" s="50">
        <v>0</v>
      </c>
      <c r="E16" s="47">
        <f t="shared" si="0"/>
        <v>4</v>
      </c>
    </row>
    <row r="17" spans="1:5" s="1" customFormat="1">
      <c r="A17" s="49" t="s">
        <v>56</v>
      </c>
      <c r="B17" s="50">
        <v>1</v>
      </c>
      <c r="C17" s="50">
        <v>0</v>
      </c>
      <c r="D17" s="50">
        <v>0</v>
      </c>
      <c r="E17" s="47">
        <f t="shared" si="0"/>
        <v>1</v>
      </c>
    </row>
    <row r="18" spans="1:5" s="1" customFormat="1">
      <c r="A18" s="49" t="s">
        <v>57</v>
      </c>
      <c r="B18" s="50">
        <v>4</v>
      </c>
      <c r="C18" s="50">
        <v>0</v>
      </c>
      <c r="D18" s="50">
        <v>1</v>
      </c>
      <c r="E18" s="47">
        <f t="shared" si="0"/>
        <v>5</v>
      </c>
    </row>
    <row r="19" spans="1:5" s="1" customFormat="1">
      <c r="A19" s="49" t="s">
        <v>58</v>
      </c>
      <c r="B19" s="50">
        <v>6</v>
      </c>
      <c r="C19" s="50">
        <v>0</v>
      </c>
      <c r="D19" s="50">
        <v>0</v>
      </c>
      <c r="E19" s="47">
        <f t="shared" si="0"/>
        <v>6</v>
      </c>
    </row>
    <row r="20" spans="1:5" s="1" customFormat="1">
      <c r="A20" s="49" t="s">
        <v>59</v>
      </c>
      <c r="B20" s="50">
        <v>2</v>
      </c>
      <c r="C20" s="50">
        <v>0</v>
      </c>
      <c r="D20" s="50">
        <v>4</v>
      </c>
      <c r="E20" s="47">
        <f t="shared" si="0"/>
        <v>6</v>
      </c>
    </row>
    <row r="21" spans="1:5" s="1" customFormat="1">
      <c r="A21" s="49" t="s">
        <v>60</v>
      </c>
      <c r="B21" s="50">
        <v>45</v>
      </c>
      <c r="C21" s="50">
        <v>1</v>
      </c>
      <c r="D21" s="50">
        <v>3</v>
      </c>
      <c r="E21" s="47">
        <f t="shared" si="0"/>
        <v>49</v>
      </c>
    </row>
    <row r="22" spans="1:5" s="1" customFormat="1">
      <c r="A22" s="49" t="s">
        <v>61</v>
      </c>
      <c r="B22" s="50">
        <v>4</v>
      </c>
      <c r="C22" s="50">
        <v>0</v>
      </c>
      <c r="D22" s="50">
        <v>6</v>
      </c>
      <c r="E22" s="47">
        <f t="shared" si="0"/>
        <v>10</v>
      </c>
    </row>
    <row r="23" spans="1:5" s="1" customFormat="1">
      <c r="A23" s="49" t="s">
        <v>62</v>
      </c>
      <c r="B23" s="50">
        <v>2</v>
      </c>
      <c r="C23" s="50">
        <v>2</v>
      </c>
      <c r="D23" s="50">
        <v>1</v>
      </c>
      <c r="E23" s="47">
        <f t="shared" si="0"/>
        <v>5</v>
      </c>
    </row>
    <row r="24" spans="1:5" s="1" customFormat="1">
      <c r="A24" s="49" t="s">
        <v>63</v>
      </c>
      <c r="B24" s="50">
        <v>16</v>
      </c>
      <c r="C24" s="50">
        <v>28</v>
      </c>
      <c r="D24" s="50">
        <v>24</v>
      </c>
      <c r="E24" s="47">
        <f t="shared" si="0"/>
        <v>68</v>
      </c>
    </row>
    <row r="25" spans="1:5" s="1" customFormat="1">
      <c r="A25" s="49" t="s">
        <v>64</v>
      </c>
      <c r="B25" s="50">
        <v>3</v>
      </c>
      <c r="C25" s="50">
        <v>1</v>
      </c>
      <c r="D25" s="50">
        <v>1</v>
      </c>
      <c r="E25" s="47">
        <f t="shared" si="0"/>
        <v>5</v>
      </c>
    </row>
    <row r="26" spans="1:5" s="1" customFormat="1">
      <c r="A26" s="49" t="s">
        <v>65</v>
      </c>
      <c r="B26" s="50">
        <v>39</v>
      </c>
      <c r="C26" s="50">
        <v>0</v>
      </c>
      <c r="D26" s="50">
        <v>1</v>
      </c>
      <c r="E26" s="47">
        <f t="shared" si="0"/>
        <v>40</v>
      </c>
    </row>
    <row r="27" spans="1:5" s="1" customFormat="1">
      <c r="A27" s="49" t="s">
        <v>66</v>
      </c>
      <c r="B27" s="50">
        <v>1</v>
      </c>
      <c r="C27" s="50">
        <v>1</v>
      </c>
      <c r="D27" s="50">
        <v>1</v>
      </c>
      <c r="E27" s="47">
        <f t="shared" si="0"/>
        <v>3</v>
      </c>
    </row>
    <row r="28" spans="1:5" s="1" customFormat="1">
      <c r="A28" s="49" t="s">
        <v>67</v>
      </c>
      <c r="B28" s="50">
        <v>24</v>
      </c>
      <c r="C28" s="50">
        <v>1</v>
      </c>
      <c r="D28" s="50">
        <v>2</v>
      </c>
      <c r="E28" s="47">
        <f t="shared" si="0"/>
        <v>27</v>
      </c>
    </row>
    <row r="29" spans="1:5" s="1" customFormat="1">
      <c r="A29" s="49" t="s">
        <v>68</v>
      </c>
      <c r="B29" s="50">
        <v>0</v>
      </c>
      <c r="C29" s="50">
        <v>0</v>
      </c>
      <c r="D29" s="50">
        <v>1</v>
      </c>
      <c r="E29" s="47">
        <f t="shared" si="0"/>
        <v>1</v>
      </c>
    </row>
    <row r="30" spans="1:5" s="1" customFormat="1">
      <c r="A30" s="49" t="s">
        <v>69</v>
      </c>
      <c r="B30" s="50">
        <v>1</v>
      </c>
      <c r="C30" s="50">
        <v>0</v>
      </c>
      <c r="D30" s="50">
        <v>0</v>
      </c>
      <c r="E30" s="47">
        <f t="shared" si="0"/>
        <v>1</v>
      </c>
    </row>
    <row r="31" spans="1:5" s="1" customFormat="1">
      <c r="A31" s="49" t="s">
        <v>70</v>
      </c>
      <c r="B31" s="50">
        <v>63</v>
      </c>
      <c r="C31" s="50">
        <v>6</v>
      </c>
      <c r="D31" s="50">
        <v>15</v>
      </c>
      <c r="E31" s="47">
        <f t="shared" si="0"/>
        <v>84</v>
      </c>
    </row>
    <row r="32" spans="1:5" s="1" customFormat="1">
      <c r="A32" s="49" t="s">
        <v>71</v>
      </c>
      <c r="B32" s="50">
        <v>2</v>
      </c>
      <c r="C32" s="50">
        <v>0</v>
      </c>
      <c r="D32" s="50">
        <v>0</v>
      </c>
      <c r="E32" s="47">
        <f t="shared" si="0"/>
        <v>2</v>
      </c>
    </row>
    <row r="33" spans="1:5" s="1" customFormat="1">
      <c r="A33" s="49" t="s">
        <v>72</v>
      </c>
      <c r="B33" s="50">
        <v>3</v>
      </c>
      <c r="C33" s="50">
        <v>0</v>
      </c>
      <c r="D33" s="50">
        <v>0</v>
      </c>
      <c r="E33" s="47">
        <f t="shared" si="0"/>
        <v>3</v>
      </c>
    </row>
    <row r="34" spans="1:5" s="1" customFormat="1">
      <c r="A34" s="49" t="s">
        <v>73</v>
      </c>
      <c r="B34" s="50">
        <v>17</v>
      </c>
      <c r="C34" s="50">
        <v>0</v>
      </c>
      <c r="D34" s="50">
        <v>4</v>
      </c>
      <c r="E34" s="47">
        <f t="shared" si="0"/>
        <v>21</v>
      </c>
    </row>
    <row r="35" spans="1:5" s="1" customFormat="1">
      <c r="A35" s="49" t="s">
        <v>74</v>
      </c>
      <c r="B35" s="50">
        <v>0</v>
      </c>
      <c r="C35" s="50">
        <v>0</v>
      </c>
      <c r="D35" s="50">
        <v>12</v>
      </c>
      <c r="E35" s="47">
        <f t="shared" si="0"/>
        <v>12</v>
      </c>
    </row>
    <row r="36" spans="1:5" s="1" customFormat="1">
      <c r="A36" s="49" t="s">
        <v>75</v>
      </c>
      <c r="B36" s="50">
        <v>1</v>
      </c>
      <c r="C36" s="50">
        <v>0</v>
      </c>
      <c r="D36" s="50">
        <v>0</v>
      </c>
      <c r="E36" s="47">
        <f t="shared" si="0"/>
        <v>1</v>
      </c>
    </row>
    <row r="37" spans="1:5" s="1" customFormat="1">
      <c r="A37" s="49" t="s">
        <v>76</v>
      </c>
      <c r="B37" s="50">
        <v>23</v>
      </c>
      <c r="C37" s="50">
        <v>0</v>
      </c>
      <c r="D37" s="50">
        <v>1</v>
      </c>
      <c r="E37" s="47">
        <f t="shared" si="0"/>
        <v>24</v>
      </c>
    </row>
    <row r="38" spans="1:5" s="1" customFormat="1">
      <c r="A38" s="49" t="s">
        <v>77</v>
      </c>
      <c r="B38" s="50">
        <v>0</v>
      </c>
      <c r="C38" s="50">
        <v>0</v>
      </c>
      <c r="D38" s="50">
        <v>1</v>
      </c>
      <c r="E38" s="47">
        <f t="shared" si="0"/>
        <v>1</v>
      </c>
    </row>
    <row r="39" spans="1:5" s="1" customFormat="1">
      <c r="A39" s="49" t="s">
        <v>78</v>
      </c>
      <c r="B39" s="50">
        <v>18</v>
      </c>
      <c r="C39" s="50">
        <v>14</v>
      </c>
      <c r="D39" s="50">
        <v>17</v>
      </c>
      <c r="E39" s="47">
        <f t="shared" si="0"/>
        <v>49</v>
      </c>
    </row>
    <row r="40" spans="1:5" s="1" customFormat="1">
      <c r="A40" s="49" t="s">
        <v>79</v>
      </c>
      <c r="B40" s="50">
        <v>2</v>
      </c>
      <c r="C40" s="50">
        <v>3</v>
      </c>
      <c r="D40" s="50">
        <v>0</v>
      </c>
      <c r="E40" s="47">
        <f t="shared" si="0"/>
        <v>5</v>
      </c>
    </row>
    <row r="41" spans="1:5" s="1" customFormat="1">
      <c r="A41" s="49" t="s">
        <v>80</v>
      </c>
      <c r="B41" s="50">
        <v>16</v>
      </c>
      <c r="C41" s="50">
        <v>0</v>
      </c>
      <c r="D41" s="50">
        <v>3</v>
      </c>
      <c r="E41" s="47">
        <f t="shared" si="0"/>
        <v>19</v>
      </c>
    </row>
    <row r="42" spans="1:5" s="1" customFormat="1">
      <c r="A42" s="49" t="s">
        <v>81</v>
      </c>
      <c r="B42" s="50">
        <v>10</v>
      </c>
      <c r="C42" s="50">
        <v>1</v>
      </c>
      <c r="D42" s="50">
        <v>3</v>
      </c>
      <c r="E42" s="47">
        <f t="shared" si="0"/>
        <v>14</v>
      </c>
    </row>
    <row r="43" spans="1:5" s="1" customFormat="1">
      <c r="A43" s="49" t="s">
        <v>82</v>
      </c>
      <c r="B43" s="50">
        <v>2</v>
      </c>
      <c r="C43" s="50">
        <v>0</v>
      </c>
      <c r="D43" s="50">
        <v>1</v>
      </c>
      <c r="E43" s="47">
        <f t="shared" si="0"/>
        <v>3</v>
      </c>
    </row>
    <row r="44" spans="1:5" s="1" customFormat="1">
      <c r="A44" s="49" t="s">
        <v>83</v>
      </c>
      <c r="B44" s="50">
        <v>82</v>
      </c>
      <c r="C44" s="50">
        <v>7</v>
      </c>
      <c r="D44" s="50">
        <v>21</v>
      </c>
      <c r="E44" s="47">
        <f t="shared" si="0"/>
        <v>110</v>
      </c>
    </row>
    <row r="45" spans="1:5" s="1" customFormat="1">
      <c r="A45" s="49" t="s">
        <v>84</v>
      </c>
      <c r="B45" s="50">
        <v>16</v>
      </c>
      <c r="C45" s="50">
        <v>0</v>
      </c>
      <c r="D45" s="50">
        <v>3</v>
      </c>
      <c r="E45" s="47">
        <f t="shared" si="0"/>
        <v>19</v>
      </c>
    </row>
    <row r="46" spans="1:5" s="1" customFormat="1">
      <c r="A46" s="49" t="s">
        <v>85</v>
      </c>
      <c r="B46" s="50">
        <v>1</v>
      </c>
      <c r="C46" s="50">
        <v>0</v>
      </c>
      <c r="D46" s="50">
        <v>0</v>
      </c>
      <c r="E46" s="47">
        <f t="shared" si="0"/>
        <v>1</v>
      </c>
    </row>
    <row r="47" spans="1:5" s="1" customFormat="1">
      <c r="A47" s="49" t="s">
        <v>86</v>
      </c>
      <c r="B47" s="50">
        <v>1</v>
      </c>
      <c r="C47" s="50">
        <v>2</v>
      </c>
      <c r="D47" s="50">
        <v>1</v>
      </c>
      <c r="E47" s="47">
        <f t="shared" si="0"/>
        <v>4</v>
      </c>
    </row>
    <row r="48" spans="1:5" s="1" customFormat="1">
      <c r="A48" s="49" t="s">
        <v>87</v>
      </c>
      <c r="B48" s="50">
        <v>9</v>
      </c>
      <c r="C48" s="50">
        <v>0</v>
      </c>
      <c r="D48" s="50">
        <v>2</v>
      </c>
      <c r="E48" s="47">
        <f t="shared" si="0"/>
        <v>11</v>
      </c>
    </row>
    <row r="49" spans="1:5" s="1" customFormat="1">
      <c r="A49" s="49" t="s">
        <v>88</v>
      </c>
      <c r="B49" s="50">
        <v>43</v>
      </c>
      <c r="C49" s="50">
        <v>0</v>
      </c>
      <c r="D49" s="50">
        <v>0</v>
      </c>
      <c r="E49" s="47">
        <f t="shared" si="0"/>
        <v>43</v>
      </c>
    </row>
    <row r="50" spans="1:5" s="1" customFormat="1">
      <c r="A50" s="49" t="s">
        <v>89</v>
      </c>
      <c r="B50" s="50">
        <v>0</v>
      </c>
      <c r="C50" s="50">
        <v>1</v>
      </c>
      <c r="D50" s="50">
        <v>0</v>
      </c>
      <c r="E50" s="47">
        <f t="shared" si="0"/>
        <v>1</v>
      </c>
    </row>
    <row r="51" spans="1:5" s="1" customFormat="1">
      <c r="A51" s="49" t="s">
        <v>90</v>
      </c>
      <c r="B51" s="50">
        <v>2</v>
      </c>
      <c r="C51" s="50">
        <v>0</v>
      </c>
      <c r="D51" s="50">
        <v>4</v>
      </c>
      <c r="E51" s="47">
        <f t="shared" si="0"/>
        <v>6</v>
      </c>
    </row>
    <row r="52" spans="1:5" s="1" customFormat="1">
      <c r="A52" s="49" t="s">
        <v>91</v>
      </c>
      <c r="B52" s="50">
        <v>0</v>
      </c>
      <c r="C52" s="50">
        <v>0</v>
      </c>
      <c r="D52" s="50">
        <v>2</v>
      </c>
      <c r="E52" s="47">
        <f t="shared" si="0"/>
        <v>2</v>
      </c>
    </row>
    <row r="53" spans="1:5" s="1" customFormat="1">
      <c r="A53" s="49" t="s">
        <v>92</v>
      </c>
      <c r="B53" s="50">
        <v>8</v>
      </c>
      <c r="C53" s="50">
        <v>1</v>
      </c>
      <c r="D53" s="50">
        <v>1</v>
      </c>
      <c r="E53" s="47">
        <f t="shared" si="0"/>
        <v>10</v>
      </c>
    </row>
    <row r="54" spans="1:5" s="1" customFormat="1">
      <c r="A54" s="49" t="s">
        <v>93</v>
      </c>
      <c r="B54" s="50">
        <v>23</v>
      </c>
      <c r="C54" s="50">
        <v>0</v>
      </c>
      <c r="D54" s="50">
        <v>1</v>
      </c>
      <c r="E54" s="47">
        <f t="shared" si="0"/>
        <v>24</v>
      </c>
    </row>
    <row r="55" spans="1:5" s="1" customFormat="1">
      <c r="A55" s="49" t="s">
        <v>94</v>
      </c>
      <c r="B55" s="50">
        <v>31</v>
      </c>
      <c r="C55" s="50">
        <v>84</v>
      </c>
      <c r="D55" s="50">
        <v>21</v>
      </c>
      <c r="E55" s="47">
        <f t="shared" si="0"/>
        <v>136</v>
      </c>
    </row>
    <row r="56" spans="1:5" s="1" customFormat="1">
      <c r="A56" s="49" t="s">
        <v>95</v>
      </c>
      <c r="B56" s="50">
        <v>16</v>
      </c>
      <c r="C56" s="50">
        <v>0</v>
      </c>
      <c r="D56" s="50">
        <v>1</v>
      </c>
      <c r="E56" s="47">
        <f t="shared" si="0"/>
        <v>17</v>
      </c>
    </row>
    <row r="57" spans="1:5" s="1" customFormat="1">
      <c r="A57" s="51" t="s">
        <v>96</v>
      </c>
      <c r="B57" s="52">
        <v>4</v>
      </c>
      <c r="C57" s="53">
        <v>0</v>
      </c>
      <c r="D57" s="53">
        <v>0</v>
      </c>
      <c r="E57" s="47">
        <f t="shared" si="0"/>
        <v>4</v>
      </c>
    </row>
    <row r="58" spans="1:5" s="1" customFormat="1">
      <c r="A58" s="49" t="s">
        <v>97</v>
      </c>
      <c r="B58" s="50">
        <v>4</v>
      </c>
      <c r="C58" s="50">
        <v>0</v>
      </c>
      <c r="D58" s="50">
        <v>0</v>
      </c>
      <c r="E58" s="47">
        <f t="shared" si="0"/>
        <v>4</v>
      </c>
    </row>
    <row r="59" spans="1:5" s="1" customFormat="1">
      <c r="A59" s="49" t="s">
        <v>98</v>
      </c>
      <c r="B59" s="50">
        <v>20</v>
      </c>
      <c r="C59" s="50">
        <v>3</v>
      </c>
      <c r="D59" s="50">
        <v>3</v>
      </c>
      <c r="E59" s="47">
        <f t="shared" si="0"/>
        <v>26</v>
      </c>
    </row>
    <row r="60" spans="1:5" s="1" customFormat="1">
      <c r="A60" s="49" t="s">
        <v>99</v>
      </c>
      <c r="B60" s="50">
        <v>4</v>
      </c>
      <c r="C60" s="50">
        <v>5</v>
      </c>
      <c r="D60" s="50">
        <v>0</v>
      </c>
      <c r="E60" s="47">
        <f t="shared" si="0"/>
        <v>9</v>
      </c>
    </row>
    <row r="61" spans="1:5" s="1" customFormat="1">
      <c r="A61" s="49" t="s">
        <v>100</v>
      </c>
      <c r="B61" s="50">
        <v>2</v>
      </c>
      <c r="C61" s="50">
        <v>3</v>
      </c>
      <c r="D61" s="50">
        <v>1</v>
      </c>
      <c r="E61" s="47">
        <f t="shared" si="0"/>
        <v>6</v>
      </c>
    </row>
    <row r="62" spans="1:5" s="1" customFormat="1">
      <c r="A62" s="49" t="s">
        <v>101</v>
      </c>
      <c r="B62" s="50">
        <v>53</v>
      </c>
      <c r="C62" s="50">
        <v>2</v>
      </c>
      <c r="D62" s="50">
        <v>3</v>
      </c>
      <c r="E62" s="47">
        <f t="shared" si="0"/>
        <v>58</v>
      </c>
    </row>
    <row r="63" spans="1:5" s="1" customFormat="1">
      <c r="A63" s="49" t="s">
        <v>102</v>
      </c>
      <c r="B63" s="50">
        <v>31</v>
      </c>
      <c r="C63" s="50">
        <v>0</v>
      </c>
      <c r="D63" s="50">
        <v>0</v>
      </c>
      <c r="E63" s="47">
        <f t="shared" si="0"/>
        <v>31</v>
      </c>
    </row>
    <row r="64" spans="1:5" s="1" customFormat="1">
      <c r="A64" s="49" t="s">
        <v>103</v>
      </c>
      <c r="B64" s="50">
        <v>22</v>
      </c>
      <c r="C64" s="50">
        <v>1</v>
      </c>
      <c r="D64" s="50">
        <v>0</v>
      </c>
      <c r="E64" s="47">
        <f t="shared" si="0"/>
        <v>23</v>
      </c>
    </row>
    <row r="65" spans="1:5" s="1" customFormat="1">
      <c r="A65" s="49"/>
      <c r="B65" s="46"/>
      <c r="C65" s="46"/>
      <c r="D65" s="46"/>
      <c r="E65" s="47"/>
    </row>
    <row r="66" spans="1:5">
      <c r="A66" s="54" t="s">
        <v>104</v>
      </c>
      <c r="B66" s="43">
        <f>SUM(B67:B108)</f>
        <v>107852</v>
      </c>
      <c r="C66" s="43">
        <f>SUM(C67:C108)</f>
        <v>60520</v>
      </c>
      <c r="D66" s="43">
        <f>SUM(D67:D108)</f>
        <v>391880</v>
      </c>
      <c r="E66" s="44">
        <f>SUM(E67:E108)</f>
        <v>560252</v>
      </c>
    </row>
    <row r="67" spans="1:5">
      <c r="A67" s="49" t="s">
        <v>105</v>
      </c>
      <c r="B67" s="46">
        <v>0</v>
      </c>
      <c r="C67" s="46">
        <v>4</v>
      </c>
      <c r="D67" s="46">
        <v>1</v>
      </c>
      <c r="E67" s="47">
        <f t="shared" ref="E67:E108" si="1">B67+C67+D67</f>
        <v>5</v>
      </c>
    </row>
    <row r="68" spans="1:5">
      <c r="A68" s="49" t="s">
        <v>106</v>
      </c>
      <c r="B68" s="46">
        <v>0</v>
      </c>
      <c r="C68" s="46">
        <v>0</v>
      </c>
      <c r="D68" s="46">
        <v>2</v>
      </c>
      <c r="E68" s="47">
        <f t="shared" si="1"/>
        <v>2</v>
      </c>
    </row>
    <row r="69" spans="1:5">
      <c r="A69" s="49" t="s">
        <v>107</v>
      </c>
      <c r="B69" s="46">
        <v>392</v>
      </c>
      <c r="C69" s="46">
        <v>1791</v>
      </c>
      <c r="D69" s="46">
        <v>1555</v>
      </c>
      <c r="E69" s="47">
        <f t="shared" si="1"/>
        <v>3738</v>
      </c>
    </row>
    <row r="70" spans="1:5">
      <c r="A70" s="49" t="s">
        <v>108</v>
      </c>
      <c r="B70" s="46">
        <v>7</v>
      </c>
      <c r="C70" s="46">
        <v>0</v>
      </c>
      <c r="D70" s="46">
        <v>1</v>
      </c>
      <c r="E70" s="47">
        <f t="shared" si="1"/>
        <v>8</v>
      </c>
    </row>
    <row r="71" spans="1:5">
      <c r="A71" s="49" t="s">
        <v>109</v>
      </c>
      <c r="B71" s="46">
        <v>15</v>
      </c>
      <c r="C71" s="46">
        <v>9</v>
      </c>
      <c r="D71" s="46">
        <v>10</v>
      </c>
      <c r="E71" s="47">
        <f t="shared" si="1"/>
        <v>34</v>
      </c>
    </row>
    <row r="72" spans="1:5">
      <c r="A72" s="49" t="s">
        <v>110</v>
      </c>
      <c r="B72" s="46">
        <v>18</v>
      </c>
      <c r="C72" s="46">
        <v>4</v>
      </c>
      <c r="D72" s="46">
        <v>4</v>
      </c>
      <c r="E72" s="47">
        <f t="shared" si="1"/>
        <v>26</v>
      </c>
    </row>
    <row r="73" spans="1:5">
      <c r="A73" s="49" t="s">
        <v>111</v>
      </c>
      <c r="B73" s="46">
        <v>182</v>
      </c>
      <c r="C73" s="46">
        <v>26</v>
      </c>
      <c r="D73" s="46">
        <v>81</v>
      </c>
      <c r="E73" s="47">
        <f t="shared" si="1"/>
        <v>289</v>
      </c>
    </row>
    <row r="74" spans="1:5">
      <c r="A74" s="49" t="s">
        <v>112</v>
      </c>
      <c r="B74" s="46">
        <v>6</v>
      </c>
      <c r="C74" s="46">
        <v>64</v>
      </c>
      <c r="D74" s="46">
        <v>2</v>
      </c>
      <c r="E74" s="47">
        <f t="shared" si="1"/>
        <v>72</v>
      </c>
    </row>
    <row r="75" spans="1:5">
      <c r="A75" s="49" t="s">
        <v>113</v>
      </c>
      <c r="B75" s="46">
        <v>269</v>
      </c>
      <c r="C75" s="46">
        <v>188</v>
      </c>
      <c r="D75" s="46">
        <v>259</v>
      </c>
      <c r="E75" s="47">
        <f t="shared" si="1"/>
        <v>716</v>
      </c>
    </row>
    <row r="76" spans="1:5">
      <c r="A76" s="49" t="s">
        <v>114</v>
      </c>
      <c r="B76" s="46">
        <v>377</v>
      </c>
      <c r="C76" s="46">
        <v>1561</v>
      </c>
      <c r="D76" s="46">
        <v>593</v>
      </c>
      <c r="E76" s="47">
        <f t="shared" si="1"/>
        <v>2531</v>
      </c>
    </row>
    <row r="77" spans="1:5">
      <c r="A77" s="49" t="s">
        <v>115</v>
      </c>
      <c r="B77" s="46">
        <v>515</v>
      </c>
      <c r="C77" s="46">
        <v>2490</v>
      </c>
      <c r="D77" s="46">
        <v>2049</v>
      </c>
      <c r="E77" s="47">
        <f t="shared" si="1"/>
        <v>5054</v>
      </c>
    </row>
    <row r="78" spans="1:5">
      <c r="A78" s="49" t="s">
        <v>116</v>
      </c>
      <c r="B78" s="46">
        <v>247</v>
      </c>
      <c r="C78" s="46">
        <v>908</v>
      </c>
      <c r="D78" s="46">
        <v>1003</v>
      </c>
      <c r="E78" s="47">
        <f t="shared" si="1"/>
        <v>2158</v>
      </c>
    </row>
    <row r="79" spans="1:5">
      <c r="A79" s="49" t="s">
        <v>28</v>
      </c>
      <c r="B79" s="46">
        <v>9683</v>
      </c>
      <c r="C79" s="46">
        <v>5131</v>
      </c>
      <c r="D79" s="46">
        <v>15306</v>
      </c>
      <c r="E79" s="47">
        <f t="shared" si="1"/>
        <v>30120</v>
      </c>
    </row>
    <row r="80" spans="1:5">
      <c r="A80" s="49" t="s">
        <v>30</v>
      </c>
      <c r="B80" s="46">
        <v>1439</v>
      </c>
      <c r="C80" s="46">
        <v>385</v>
      </c>
      <c r="D80" s="46">
        <v>8065</v>
      </c>
      <c r="E80" s="47">
        <f t="shared" si="1"/>
        <v>9889</v>
      </c>
    </row>
    <row r="81" spans="1:5">
      <c r="A81" s="49" t="s">
        <v>117</v>
      </c>
      <c r="B81" s="46">
        <v>0</v>
      </c>
      <c r="C81" s="46">
        <v>1</v>
      </c>
      <c r="D81" s="46">
        <v>2</v>
      </c>
      <c r="E81" s="47">
        <f t="shared" si="1"/>
        <v>3</v>
      </c>
    </row>
    <row r="82" spans="1:5">
      <c r="A82" s="49" t="s">
        <v>118</v>
      </c>
      <c r="B82" s="46">
        <v>3</v>
      </c>
      <c r="C82" s="46">
        <v>6</v>
      </c>
      <c r="D82" s="46">
        <v>21</v>
      </c>
      <c r="E82" s="47">
        <f t="shared" si="1"/>
        <v>30</v>
      </c>
    </row>
    <row r="83" spans="1:5">
      <c r="A83" s="49" t="s">
        <v>31</v>
      </c>
      <c r="B83" s="46">
        <v>856</v>
      </c>
      <c r="C83" s="46">
        <v>673</v>
      </c>
      <c r="D83" s="46">
        <v>941</v>
      </c>
      <c r="E83" s="47">
        <f t="shared" si="1"/>
        <v>2470</v>
      </c>
    </row>
    <row r="84" spans="1:5">
      <c r="A84" s="49" t="s">
        <v>32</v>
      </c>
      <c r="B84" s="46">
        <v>3871</v>
      </c>
      <c r="C84" s="46">
        <v>2714</v>
      </c>
      <c r="D84" s="46">
        <v>8202</v>
      </c>
      <c r="E84" s="47">
        <f t="shared" si="1"/>
        <v>14787</v>
      </c>
    </row>
    <row r="85" spans="1:5">
      <c r="A85" s="49" t="s">
        <v>26</v>
      </c>
      <c r="B85" s="46">
        <v>5282</v>
      </c>
      <c r="C85" s="46">
        <v>15328</v>
      </c>
      <c r="D85" s="46">
        <v>11853</v>
      </c>
      <c r="E85" s="47">
        <f t="shared" si="1"/>
        <v>32463</v>
      </c>
    </row>
    <row r="86" spans="1:5">
      <c r="A86" s="49" t="s">
        <v>119</v>
      </c>
      <c r="B86" s="46">
        <v>3</v>
      </c>
      <c r="C86" s="46">
        <v>0</v>
      </c>
      <c r="D86" s="46">
        <v>2</v>
      </c>
      <c r="E86" s="47">
        <f t="shared" si="1"/>
        <v>5</v>
      </c>
    </row>
    <row r="87" spans="1:5">
      <c r="A87" s="49" t="s">
        <v>120</v>
      </c>
      <c r="B87" s="46">
        <v>1</v>
      </c>
      <c r="C87" s="46">
        <v>0</v>
      </c>
      <c r="D87" s="46">
        <v>0</v>
      </c>
      <c r="E87" s="47">
        <f t="shared" si="1"/>
        <v>1</v>
      </c>
    </row>
    <row r="88" spans="1:5">
      <c r="A88" s="49" t="s">
        <v>121</v>
      </c>
      <c r="B88" s="46">
        <v>1410</v>
      </c>
      <c r="C88" s="46">
        <v>1863</v>
      </c>
      <c r="D88" s="46">
        <v>1693</v>
      </c>
      <c r="E88" s="47">
        <f t="shared" si="1"/>
        <v>4966</v>
      </c>
    </row>
    <row r="89" spans="1:5">
      <c r="A89" s="49" t="s">
        <v>122</v>
      </c>
      <c r="B89" s="46">
        <v>7</v>
      </c>
      <c r="C89" s="46">
        <v>8</v>
      </c>
      <c r="D89" s="46">
        <v>24</v>
      </c>
      <c r="E89" s="47">
        <f t="shared" si="1"/>
        <v>39</v>
      </c>
    </row>
    <row r="90" spans="1:5">
      <c r="A90" s="49" t="s">
        <v>123</v>
      </c>
      <c r="B90" s="46">
        <v>139</v>
      </c>
      <c r="C90" s="46">
        <v>43</v>
      </c>
      <c r="D90" s="46">
        <v>228</v>
      </c>
      <c r="E90" s="47">
        <f t="shared" si="1"/>
        <v>410</v>
      </c>
    </row>
    <row r="91" spans="1:5">
      <c r="A91" s="49" t="s">
        <v>124</v>
      </c>
      <c r="B91" s="46">
        <v>2734</v>
      </c>
      <c r="C91" s="46">
        <v>1661</v>
      </c>
      <c r="D91" s="46">
        <v>2774</v>
      </c>
      <c r="E91" s="47">
        <f t="shared" si="1"/>
        <v>7169</v>
      </c>
    </row>
    <row r="92" spans="1:5">
      <c r="A92" s="49" t="s">
        <v>125</v>
      </c>
      <c r="B92" s="46">
        <v>3</v>
      </c>
      <c r="C92" s="46">
        <v>0</v>
      </c>
      <c r="D92" s="46">
        <v>0</v>
      </c>
      <c r="E92" s="47">
        <f t="shared" si="1"/>
        <v>3</v>
      </c>
    </row>
    <row r="93" spans="1:5">
      <c r="A93" s="49" t="s">
        <v>126</v>
      </c>
      <c r="B93" s="46">
        <v>37</v>
      </c>
      <c r="C93" s="46">
        <v>61</v>
      </c>
      <c r="D93" s="46">
        <v>144</v>
      </c>
      <c r="E93" s="47">
        <f t="shared" si="1"/>
        <v>242</v>
      </c>
    </row>
    <row r="94" spans="1:5">
      <c r="A94" s="49" t="s">
        <v>127</v>
      </c>
      <c r="B94" s="46">
        <v>1117</v>
      </c>
      <c r="C94" s="46">
        <v>4186</v>
      </c>
      <c r="D94" s="46">
        <v>1900</v>
      </c>
      <c r="E94" s="47">
        <f t="shared" si="1"/>
        <v>7203</v>
      </c>
    </row>
    <row r="95" spans="1:5">
      <c r="A95" s="49" t="s">
        <v>25</v>
      </c>
      <c r="B95" s="46">
        <v>68272</v>
      </c>
      <c r="C95" s="46">
        <v>11586</v>
      </c>
      <c r="D95" s="46">
        <v>317934</v>
      </c>
      <c r="E95" s="47">
        <f t="shared" si="1"/>
        <v>397792</v>
      </c>
    </row>
    <row r="96" spans="1:5">
      <c r="A96" s="49" t="s">
        <v>29</v>
      </c>
      <c r="B96" s="46">
        <v>1702</v>
      </c>
      <c r="C96" s="46">
        <v>938</v>
      </c>
      <c r="D96" s="46">
        <v>6827</v>
      </c>
      <c r="E96" s="47">
        <f t="shared" si="1"/>
        <v>9467</v>
      </c>
    </row>
    <row r="97" spans="1:5">
      <c r="A97" s="49" t="s">
        <v>128</v>
      </c>
      <c r="B97" s="46">
        <v>125</v>
      </c>
      <c r="C97" s="46">
        <v>73</v>
      </c>
      <c r="D97" s="46">
        <v>53</v>
      </c>
      <c r="E97" s="47">
        <f t="shared" si="1"/>
        <v>251</v>
      </c>
    </row>
    <row r="98" spans="1:5">
      <c r="A98" s="49" t="s">
        <v>129</v>
      </c>
      <c r="B98" s="46">
        <v>994</v>
      </c>
      <c r="C98" s="46">
        <v>1112</v>
      </c>
      <c r="D98" s="46">
        <v>3696</v>
      </c>
      <c r="E98" s="47">
        <f t="shared" si="1"/>
        <v>5802</v>
      </c>
    </row>
    <row r="99" spans="1:5">
      <c r="A99" s="49" t="s">
        <v>130</v>
      </c>
      <c r="B99" s="46">
        <v>5</v>
      </c>
      <c r="C99" s="46">
        <v>24</v>
      </c>
      <c r="D99" s="46">
        <v>10</v>
      </c>
      <c r="E99" s="47">
        <f t="shared" si="1"/>
        <v>39</v>
      </c>
    </row>
    <row r="100" spans="1:5">
      <c r="A100" s="49" t="s">
        <v>131</v>
      </c>
      <c r="B100" s="46">
        <v>1925</v>
      </c>
      <c r="C100" s="46">
        <v>458</v>
      </c>
      <c r="D100" s="46">
        <v>2567</v>
      </c>
      <c r="E100" s="47">
        <f t="shared" si="1"/>
        <v>4950</v>
      </c>
    </row>
    <row r="101" spans="1:5">
      <c r="A101" s="49" t="s">
        <v>132</v>
      </c>
      <c r="B101" s="46">
        <v>1</v>
      </c>
      <c r="C101" s="46">
        <v>1</v>
      </c>
      <c r="D101" s="46">
        <v>0</v>
      </c>
      <c r="E101" s="47">
        <f t="shared" si="1"/>
        <v>2</v>
      </c>
    </row>
    <row r="102" spans="1:5">
      <c r="A102" s="49" t="s">
        <v>133</v>
      </c>
      <c r="B102" s="46">
        <v>7</v>
      </c>
      <c r="C102" s="46">
        <v>2</v>
      </c>
      <c r="D102" s="46">
        <v>2</v>
      </c>
      <c r="E102" s="47">
        <f t="shared" si="1"/>
        <v>11</v>
      </c>
    </row>
    <row r="103" spans="1:5">
      <c r="A103" s="49" t="s">
        <v>134</v>
      </c>
      <c r="B103" s="46">
        <v>0</v>
      </c>
      <c r="C103" s="46">
        <v>0</v>
      </c>
      <c r="D103" s="46">
        <v>4</v>
      </c>
      <c r="E103" s="47">
        <f t="shared" si="1"/>
        <v>4</v>
      </c>
    </row>
    <row r="104" spans="1:5">
      <c r="A104" s="49" t="s">
        <v>135</v>
      </c>
      <c r="B104" s="46">
        <v>1</v>
      </c>
      <c r="C104" s="46">
        <v>8</v>
      </c>
      <c r="D104" s="46">
        <v>2</v>
      </c>
      <c r="E104" s="47">
        <f t="shared" si="1"/>
        <v>11</v>
      </c>
    </row>
    <row r="105" spans="1:5">
      <c r="A105" s="49" t="s">
        <v>136</v>
      </c>
      <c r="B105" s="46">
        <v>6</v>
      </c>
      <c r="C105" s="46">
        <v>4</v>
      </c>
      <c r="D105" s="46">
        <v>8</v>
      </c>
      <c r="E105" s="47">
        <f t="shared" si="1"/>
        <v>18</v>
      </c>
    </row>
    <row r="106" spans="1:5">
      <c r="A106" s="49" t="s">
        <v>137</v>
      </c>
      <c r="B106" s="46">
        <v>30</v>
      </c>
      <c r="C106" s="46">
        <v>63</v>
      </c>
      <c r="D106" s="46">
        <v>38</v>
      </c>
      <c r="E106" s="47">
        <f t="shared" si="1"/>
        <v>131</v>
      </c>
    </row>
    <row r="107" spans="1:5">
      <c r="A107" s="49" t="s">
        <v>138</v>
      </c>
      <c r="B107" s="46">
        <v>76</v>
      </c>
      <c r="C107" s="46">
        <v>227</v>
      </c>
      <c r="D107" s="46">
        <v>269</v>
      </c>
      <c r="E107" s="47">
        <f t="shared" si="1"/>
        <v>572</v>
      </c>
    </row>
    <row r="108" spans="1:5">
      <c r="A108" s="49" t="s">
        <v>27</v>
      </c>
      <c r="B108" s="46">
        <v>6095</v>
      </c>
      <c r="C108" s="46">
        <v>6919</v>
      </c>
      <c r="D108" s="46">
        <v>3755</v>
      </c>
      <c r="E108" s="47">
        <f t="shared" si="1"/>
        <v>16769</v>
      </c>
    </row>
    <row r="109" spans="1:5" s="55" customFormat="1">
      <c r="A109" s="49"/>
      <c r="B109" s="46"/>
      <c r="C109" s="46"/>
      <c r="D109" s="46"/>
      <c r="E109" s="47"/>
    </row>
    <row r="110" spans="1:5">
      <c r="A110" s="42" t="s">
        <v>139</v>
      </c>
      <c r="B110" s="43">
        <f>SUM(B111:B159)</f>
        <v>4966</v>
      </c>
      <c r="C110" s="43">
        <f t="shared" ref="C110:D110" si="2">SUM(C111:C159)</f>
        <v>11419</v>
      </c>
      <c r="D110" s="43">
        <f t="shared" si="2"/>
        <v>3997</v>
      </c>
      <c r="E110" s="43">
        <f>B110+C110+D110</f>
        <v>20382</v>
      </c>
    </row>
    <row r="111" spans="1:5">
      <c r="A111" s="49" t="s">
        <v>140</v>
      </c>
      <c r="B111" s="46">
        <v>10</v>
      </c>
      <c r="C111" s="46">
        <v>2</v>
      </c>
      <c r="D111" s="46">
        <v>3</v>
      </c>
      <c r="E111" s="47">
        <v>15</v>
      </c>
    </row>
    <row r="112" spans="1:5">
      <c r="A112" s="49" t="s">
        <v>141</v>
      </c>
      <c r="B112" s="46">
        <v>0</v>
      </c>
      <c r="C112" s="46">
        <v>2</v>
      </c>
      <c r="D112" s="46">
        <v>0</v>
      </c>
      <c r="E112" s="47">
        <v>2</v>
      </c>
    </row>
    <row r="113" spans="1:5">
      <c r="A113" s="49" t="s">
        <v>142</v>
      </c>
      <c r="B113" s="46">
        <v>2</v>
      </c>
      <c r="C113" s="46">
        <v>6</v>
      </c>
      <c r="D113" s="46">
        <v>0</v>
      </c>
      <c r="E113" s="47">
        <v>8</v>
      </c>
    </row>
    <row r="114" spans="1:5">
      <c r="A114" s="49" t="s">
        <v>143</v>
      </c>
      <c r="B114" s="46">
        <v>0</v>
      </c>
      <c r="C114" s="46">
        <v>2</v>
      </c>
      <c r="D114" s="46">
        <v>1</v>
      </c>
      <c r="E114" s="47">
        <v>3</v>
      </c>
    </row>
    <row r="115" spans="1:5">
      <c r="A115" s="49" t="s">
        <v>144</v>
      </c>
      <c r="B115" s="46">
        <v>18</v>
      </c>
      <c r="C115" s="46">
        <v>3</v>
      </c>
      <c r="D115" s="46">
        <v>9</v>
      </c>
      <c r="E115" s="47">
        <v>30</v>
      </c>
    </row>
    <row r="116" spans="1:5">
      <c r="A116" s="49" t="s">
        <v>145</v>
      </c>
      <c r="B116" s="46">
        <v>26</v>
      </c>
      <c r="C116" s="46">
        <v>1</v>
      </c>
      <c r="D116" s="46">
        <v>0</v>
      </c>
      <c r="E116" s="47">
        <v>27</v>
      </c>
    </row>
    <row r="117" spans="1:5">
      <c r="A117" s="49" t="s">
        <v>146</v>
      </c>
      <c r="B117" s="46">
        <v>1</v>
      </c>
      <c r="C117" s="46">
        <v>0</v>
      </c>
      <c r="D117" s="46">
        <v>1</v>
      </c>
      <c r="E117" s="47">
        <v>2</v>
      </c>
    </row>
    <row r="118" spans="1:5">
      <c r="A118" s="49" t="s">
        <v>147</v>
      </c>
      <c r="B118" s="46">
        <v>6</v>
      </c>
      <c r="C118" s="46">
        <v>2</v>
      </c>
      <c r="D118" s="46">
        <v>1</v>
      </c>
      <c r="E118" s="47">
        <v>9</v>
      </c>
    </row>
    <row r="119" spans="1:5">
      <c r="A119" s="49" t="s">
        <v>148</v>
      </c>
      <c r="B119" s="46">
        <v>1</v>
      </c>
      <c r="C119" s="46">
        <v>0</v>
      </c>
      <c r="D119" s="46">
        <v>0</v>
      </c>
      <c r="E119" s="47">
        <v>1</v>
      </c>
    </row>
    <row r="120" spans="1:5">
      <c r="A120" s="49" t="s">
        <v>149</v>
      </c>
      <c r="B120" s="46">
        <v>136</v>
      </c>
      <c r="C120" s="46">
        <v>252</v>
      </c>
      <c r="D120" s="46">
        <v>225</v>
      </c>
      <c r="E120" s="47">
        <v>613</v>
      </c>
    </row>
    <row r="121" spans="1:5">
      <c r="A121" s="49" t="s">
        <v>150</v>
      </c>
      <c r="B121" s="46">
        <v>2</v>
      </c>
      <c r="C121" s="46">
        <v>0</v>
      </c>
      <c r="D121" s="46">
        <v>3</v>
      </c>
      <c r="E121" s="47">
        <v>5</v>
      </c>
    </row>
    <row r="122" spans="1:5">
      <c r="A122" s="49" t="s">
        <v>151</v>
      </c>
      <c r="B122" s="46">
        <v>2</v>
      </c>
      <c r="C122" s="46">
        <v>96</v>
      </c>
      <c r="D122" s="46">
        <v>33</v>
      </c>
      <c r="E122" s="47">
        <v>131</v>
      </c>
    </row>
    <row r="123" spans="1:5">
      <c r="A123" s="49" t="s">
        <v>33</v>
      </c>
      <c r="B123" s="46">
        <v>197</v>
      </c>
      <c r="C123" s="46">
        <v>360</v>
      </c>
      <c r="D123" s="46">
        <v>936</v>
      </c>
      <c r="E123" s="47">
        <v>1493</v>
      </c>
    </row>
    <row r="124" spans="1:5">
      <c r="A124" s="49" t="s">
        <v>152</v>
      </c>
      <c r="B124" s="46">
        <v>39</v>
      </c>
      <c r="C124" s="46">
        <v>9</v>
      </c>
      <c r="D124" s="46">
        <v>11</v>
      </c>
      <c r="E124" s="47">
        <v>59</v>
      </c>
    </row>
    <row r="125" spans="1:5">
      <c r="A125" s="49" t="s">
        <v>153</v>
      </c>
      <c r="B125" s="46">
        <v>17</v>
      </c>
      <c r="C125" s="46">
        <v>122</v>
      </c>
      <c r="D125" s="46">
        <v>38</v>
      </c>
      <c r="E125" s="47">
        <v>177</v>
      </c>
    </row>
    <row r="126" spans="1:5">
      <c r="A126" s="49" t="s">
        <v>154</v>
      </c>
      <c r="B126" s="46">
        <v>10</v>
      </c>
      <c r="C126" s="46">
        <v>4</v>
      </c>
      <c r="D126" s="46">
        <v>2</v>
      </c>
      <c r="E126" s="47">
        <v>16</v>
      </c>
    </row>
    <row r="127" spans="1:5">
      <c r="A127" s="49" t="s">
        <v>155</v>
      </c>
      <c r="B127" s="46">
        <v>87</v>
      </c>
      <c r="C127" s="46">
        <v>394</v>
      </c>
      <c r="D127" s="46">
        <v>175</v>
      </c>
      <c r="E127" s="47">
        <v>656</v>
      </c>
    </row>
    <row r="128" spans="1:5">
      <c r="A128" s="49" t="s">
        <v>156</v>
      </c>
      <c r="B128" s="46">
        <v>340</v>
      </c>
      <c r="C128" s="46">
        <v>215</v>
      </c>
      <c r="D128" s="46">
        <v>205</v>
      </c>
      <c r="E128" s="47">
        <v>760</v>
      </c>
    </row>
    <row r="129" spans="1:5">
      <c r="A129" s="49" t="s">
        <v>157</v>
      </c>
      <c r="B129" s="46">
        <v>16</v>
      </c>
      <c r="C129" s="46">
        <v>55</v>
      </c>
      <c r="D129" s="46">
        <v>28</v>
      </c>
      <c r="E129" s="47">
        <v>99</v>
      </c>
    </row>
    <row r="130" spans="1:5">
      <c r="A130" s="49" t="s">
        <v>158</v>
      </c>
      <c r="B130" s="46">
        <v>7</v>
      </c>
      <c r="C130" s="46">
        <v>4</v>
      </c>
      <c r="D130" s="46">
        <v>6</v>
      </c>
      <c r="E130" s="47">
        <v>17</v>
      </c>
    </row>
    <row r="131" spans="1:5">
      <c r="A131" s="49" t="s">
        <v>159</v>
      </c>
      <c r="B131" s="46">
        <v>9</v>
      </c>
      <c r="C131" s="46">
        <v>0</v>
      </c>
      <c r="D131" s="46">
        <v>1</v>
      </c>
      <c r="E131" s="47">
        <v>10</v>
      </c>
    </row>
    <row r="132" spans="1:5">
      <c r="A132" s="49" t="s">
        <v>160</v>
      </c>
      <c r="B132" s="46">
        <v>0</v>
      </c>
      <c r="C132" s="46">
        <v>2</v>
      </c>
      <c r="D132" s="46">
        <v>1</v>
      </c>
      <c r="E132" s="47">
        <v>3</v>
      </c>
    </row>
    <row r="133" spans="1:5">
      <c r="A133" s="49" t="s">
        <v>71</v>
      </c>
      <c r="B133" s="46">
        <v>4</v>
      </c>
      <c r="C133" s="46">
        <v>1</v>
      </c>
      <c r="D133" s="46">
        <v>0</v>
      </c>
      <c r="E133" s="47">
        <v>5</v>
      </c>
    </row>
    <row r="134" spans="1:5">
      <c r="A134" s="49" t="s">
        <v>161</v>
      </c>
      <c r="B134" s="46">
        <v>17</v>
      </c>
      <c r="C134" s="46">
        <v>104</v>
      </c>
      <c r="D134" s="46">
        <v>37</v>
      </c>
      <c r="E134" s="47">
        <v>158</v>
      </c>
    </row>
    <row r="135" spans="1:5">
      <c r="A135" s="49" t="s">
        <v>162</v>
      </c>
      <c r="B135" s="46">
        <v>11</v>
      </c>
      <c r="C135" s="46">
        <v>6</v>
      </c>
      <c r="D135" s="46">
        <v>22</v>
      </c>
      <c r="E135" s="47">
        <v>39</v>
      </c>
    </row>
    <row r="136" spans="1:5">
      <c r="A136" s="49" t="s">
        <v>163</v>
      </c>
      <c r="B136" s="46">
        <v>3</v>
      </c>
      <c r="C136" s="46">
        <v>0</v>
      </c>
      <c r="D136" s="46">
        <v>0</v>
      </c>
      <c r="E136" s="47">
        <v>3</v>
      </c>
    </row>
    <row r="137" spans="1:5">
      <c r="A137" s="49" t="s">
        <v>164</v>
      </c>
      <c r="B137" s="46">
        <v>3</v>
      </c>
      <c r="C137" s="46">
        <v>0</v>
      </c>
      <c r="D137" s="46">
        <v>0</v>
      </c>
      <c r="E137" s="47">
        <v>3</v>
      </c>
    </row>
    <row r="138" spans="1:5">
      <c r="A138" s="49" t="s">
        <v>165</v>
      </c>
      <c r="B138" s="46">
        <v>2</v>
      </c>
      <c r="C138" s="46">
        <v>0</v>
      </c>
      <c r="D138" s="46">
        <v>0</v>
      </c>
      <c r="E138" s="47">
        <v>2</v>
      </c>
    </row>
    <row r="139" spans="1:5">
      <c r="A139" s="49" t="s">
        <v>166</v>
      </c>
      <c r="B139" s="46">
        <v>29</v>
      </c>
      <c r="C139" s="46">
        <v>0</v>
      </c>
      <c r="D139" s="46">
        <v>0</v>
      </c>
      <c r="E139" s="47">
        <v>29</v>
      </c>
    </row>
    <row r="140" spans="1:5">
      <c r="A140" s="49" t="s">
        <v>167</v>
      </c>
      <c r="B140" s="46">
        <v>89</v>
      </c>
      <c r="C140" s="46">
        <v>88</v>
      </c>
      <c r="D140" s="46">
        <v>7</v>
      </c>
      <c r="E140" s="47">
        <v>184</v>
      </c>
    </row>
    <row r="141" spans="1:5">
      <c r="A141" s="49" t="s">
        <v>168</v>
      </c>
      <c r="B141" s="46">
        <v>2</v>
      </c>
      <c r="C141" s="46">
        <v>1</v>
      </c>
      <c r="D141" s="46">
        <v>1</v>
      </c>
      <c r="E141" s="47">
        <v>4</v>
      </c>
    </row>
    <row r="142" spans="1:5">
      <c r="A142" s="49" t="s">
        <v>169</v>
      </c>
      <c r="B142" s="46">
        <v>22</v>
      </c>
      <c r="C142" s="46">
        <v>19</v>
      </c>
      <c r="D142" s="46">
        <v>12</v>
      </c>
      <c r="E142" s="47">
        <v>53</v>
      </c>
    </row>
    <row r="143" spans="1:5">
      <c r="A143" s="49" t="s">
        <v>170</v>
      </c>
      <c r="B143" s="46">
        <v>9</v>
      </c>
      <c r="C143" s="46">
        <v>19</v>
      </c>
      <c r="D143" s="46">
        <v>7</v>
      </c>
      <c r="E143" s="47">
        <v>35</v>
      </c>
    </row>
    <row r="144" spans="1:5">
      <c r="A144" s="49" t="s">
        <v>171</v>
      </c>
      <c r="B144" s="46">
        <v>1</v>
      </c>
      <c r="C144" s="46">
        <v>0</v>
      </c>
      <c r="D144" s="46">
        <v>0</v>
      </c>
      <c r="E144" s="47">
        <v>1</v>
      </c>
    </row>
    <row r="145" spans="1:5">
      <c r="A145" s="49" t="s">
        <v>172</v>
      </c>
      <c r="B145" s="46">
        <v>48</v>
      </c>
      <c r="C145" s="46">
        <v>2216</v>
      </c>
      <c r="D145" s="46">
        <v>186</v>
      </c>
      <c r="E145" s="47">
        <v>2450</v>
      </c>
    </row>
    <row r="146" spans="1:5">
      <c r="A146" s="49" t="s">
        <v>173</v>
      </c>
      <c r="B146" s="46">
        <v>144</v>
      </c>
      <c r="C146" s="46">
        <v>435</v>
      </c>
      <c r="D146" s="46">
        <v>528</v>
      </c>
      <c r="E146" s="47">
        <v>1107</v>
      </c>
    </row>
    <row r="147" spans="1:5">
      <c r="A147" s="49" t="s">
        <v>174</v>
      </c>
      <c r="B147" s="46">
        <v>3385</v>
      </c>
      <c r="C147" s="46">
        <v>6847</v>
      </c>
      <c r="D147" s="46">
        <v>1437</v>
      </c>
      <c r="E147" s="47">
        <v>11669</v>
      </c>
    </row>
    <row r="148" spans="1:5">
      <c r="A148" s="49" t="s">
        <v>175</v>
      </c>
      <c r="B148" s="46">
        <v>64</v>
      </c>
      <c r="C148" s="46">
        <v>9</v>
      </c>
      <c r="D148" s="46">
        <v>18</v>
      </c>
      <c r="E148" s="47">
        <v>91</v>
      </c>
    </row>
    <row r="149" spans="1:5">
      <c r="A149" s="49" t="s">
        <v>176</v>
      </c>
      <c r="B149" s="46">
        <v>2</v>
      </c>
      <c r="C149" s="46">
        <v>8</v>
      </c>
      <c r="D149" s="46">
        <v>5</v>
      </c>
      <c r="E149" s="47">
        <v>15</v>
      </c>
    </row>
    <row r="150" spans="1:5">
      <c r="A150" s="49" t="s">
        <v>177</v>
      </c>
      <c r="B150" s="46">
        <v>13</v>
      </c>
      <c r="C150" s="46">
        <v>80</v>
      </c>
      <c r="D150" s="46">
        <v>4</v>
      </c>
      <c r="E150" s="47">
        <v>97</v>
      </c>
    </row>
    <row r="151" spans="1:5">
      <c r="A151" s="49" t="s">
        <v>178</v>
      </c>
      <c r="B151" s="46">
        <v>47</v>
      </c>
      <c r="C151" s="46">
        <v>2</v>
      </c>
      <c r="D151" s="46">
        <v>12</v>
      </c>
      <c r="E151" s="47">
        <v>61</v>
      </c>
    </row>
    <row r="152" spans="1:5">
      <c r="A152" s="49" t="s">
        <v>179</v>
      </c>
      <c r="B152" s="46">
        <v>65</v>
      </c>
      <c r="C152" s="46">
        <v>8</v>
      </c>
      <c r="D152" s="46">
        <v>12</v>
      </c>
      <c r="E152" s="47">
        <v>85</v>
      </c>
    </row>
    <row r="153" spans="1:5">
      <c r="A153" s="49" t="s">
        <v>180</v>
      </c>
      <c r="B153" s="46">
        <v>6</v>
      </c>
      <c r="C153" s="46">
        <v>0</v>
      </c>
      <c r="D153" s="46">
        <v>0</v>
      </c>
      <c r="E153" s="47">
        <v>6</v>
      </c>
    </row>
    <row r="154" spans="1:5">
      <c r="A154" s="49" t="s">
        <v>181</v>
      </c>
      <c r="B154" s="46">
        <v>1</v>
      </c>
      <c r="C154" s="46">
        <v>0</v>
      </c>
      <c r="D154" s="46">
        <v>0</v>
      </c>
      <c r="E154" s="47">
        <v>1</v>
      </c>
    </row>
    <row r="155" spans="1:5">
      <c r="A155" s="49" t="s">
        <v>182</v>
      </c>
      <c r="B155" s="46">
        <v>3</v>
      </c>
      <c r="C155" s="46">
        <v>0</v>
      </c>
      <c r="D155" s="46">
        <v>0</v>
      </c>
      <c r="E155" s="47">
        <v>3</v>
      </c>
    </row>
    <row r="156" spans="1:5">
      <c r="A156" s="49" t="s">
        <v>183</v>
      </c>
      <c r="B156" s="46">
        <v>21</v>
      </c>
      <c r="C156" s="46">
        <v>32</v>
      </c>
      <c r="D156" s="46">
        <v>20</v>
      </c>
      <c r="E156" s="47">
        <v>73</v>
      </c>
    </row>
    <row r="157" spans="1:5">
      <c r="A157" s="49" t="s">
        <v>184</v>
      </c>
      <c r="B157" s="46">
        <v>10</v>
      </c>
      <c r="C157" s="46">
        <v>6</v>
      </c>
      <c r="D157" s="46">
        <v>0</v>
      </c>
      <c r="E157" s="47">
        <v>16</v>
      </c>
    </row>
    <row r="158" spans="1:5">
      <c r="A158" s="49" t="s">
        <v>185</v>
      </c>
      <c r="B158" s="46">
        <v>36</v>
      </c>
      <c r="C158" s="46">
        <v>7</v>
      </c>
      <c r="D158" s="46">
        <v>9</v>
      </c>
      <c r="E158" s="47">
        <v>52</v>
      </c>
    </row>
    <row r="159" spans="1:5">
      <c r="A159" s="49" t="s">
        <v>186</v>
      </c>
      <c r="B159" s="46">
        <v>3</v>
      </c>
      <c r="C159" s="46">
        <v>0</v>
      </c>
      <c r="D159" s="46">
        <v>1</v>
      </c>
      <c r="E159" s="47">
        <v>4</v>
      </c>
    </row>
    <row r="160" spans="1:5">
      <c r="A160" s="56"/>
      <c r="B160" s="57"/>
      <c r="C160" s="57"/>
      <c r="D160" s="57"/>
      <c r="E160" s="8"/>
    </row>
    <row r="161" spans="1:5">
      <c r="A161" s="42" t="s">
        <v>187</v>
      </c>
      <c r="B161" s="58">
        <f>SUM(B162:B207)</f>
        <v>5726</v>
      </c>
      <c r="C161" s="58">
        <f>SUM(C162:C207)</f>
        <v>8879</v>
      </c>
      <c r="D161" s="58">
        <f>SUM(D162:D207)</f>
        <v>11068</v>
      </c>
      <c r="E161" s="59">
        <f>SUM(E162:E207)</f>
        <v>25673</v>
      </c>
    </row>
    <row r="162" spans="1:5">
      <c r="A162" s="49" t="s">
        <v>188</v>
      </c>
      <c r="B162" s="46">
        <v>9</v>
      </c>
      <c r="C162" s="46">
        <v>1</v>
      </c>
      <c r="D162" s="46">
        <v>2</v>
      </c>
      <c r="E162" s="47">
        <v>12</v>
      </c>
    </row>
    <row r="163" spans="1:5">
      <c r="A163" s="49" t="s">
        <v>189</v>
      </c>
      <c r="B163" s="46">
        <v>1631</v>
      </c>
      <c r="C163" s="46">
        <v>1138</v>
      </c>
      <c r="D163" s="46">
        <v>1742</v>
      </c>
      <c r="E163" s="47">
        <v>4511</v>
      </c>
    </row>
    <row r="164" spans="1:5">
      <c r="A164" s="49" t="s">
        <v>190</v>
      </c>
      <c r="B164" s="46">
        <v>0</v>
      </c>
      <c r="C164" s="46">
        <v>7</v>
      </c>
      <c r="D164" s="46">
        <v>2</v>
      </c>
      <c r="E164" s="47">
        <v>9</v>
      </c>
    </row>
    <row r="165" spans="1:5">
      <c r="A165" s="49" t="s">
        <v>191</v>
      </c>
      <c r="B165" s="46">
        <v>185</v>
      </c>
      <c r="C165" s="46">
        <v>118</v>
      </c>
      <c r="D165" s="46">
        <v>156</v>
      </c>
      <c r="E165" s="47">
        <v>459</v>
      </c>
    </row>
    <row r="166" spans="1:5">
      <c r="A166" s="49" t="s">
        <v>192</v>
      </c>
      <c r="B166" s="46">
        <v>79</v>
      </c>
      <c r="C166" s="46">
        <v>294</v>
      </c>
      <c r="D166" s="46">
        <v>308</v>
      </c>
      <c r="E166" s="47">
        <v>681</v>
      </c>
    </row>
    <row r="167" spans="1:5">
      <c r="A167" s="49" t="s">
        <v>193</v>
      </c>
      <c r="B167" s="46">
        <v>9</v>
      </c>
      <c r="C167" s="46">
        <v>5</v>
      </c>
      <c r="D167" s="46">
        <v>23</v>
      </c>
      <c r="E167" s="47">
        <v>37</v>
      </c>
    </row>
    <row r="168" spans="1:5">
      <c r="A168" s="49" t="s">
        <v>194</v>
      </c>
      <c r="B168" s="46">
        <v>0</v>
      </c>
      <c r="C168" s="46">
        <v>1</v>
      </c>
      <c r="D168" s="46">
        <v>1</v>
      </c>
      <c r="E168" s="47">
        <v>2</v>
      </c>
    </row>
    <row r="169" spans="1:5">
      <c r="A169" s="49" t="s">
        <v>195</v>
      </c>
      <c r="B169" s="46">
        <v>15</v>
      </c>
      <c r="C169" s="46">
        <v>15</v>
      </c>
      <c r="D169" s="46">
        <v>53</v>
      </c>
      <c r="E169" s="47">
        <v>83</v>
      </c>
    </row>
    <row r="170" spans="1:5">
      <c r="A170" s="49" t="s">
        <v>196</v>
      </c>
      <c r="B170" s="46">
        <v>5</v>
      </c>
      <c r="C170" s="46">
        <v>0</v>
      </c>
      <c r="D170" s="46">
        <v>14</v>
      </c>
      <c r="E170" s="47">
        <v>19</v>
      </c>
    </row>
    <row r="171" spans="1:5">
      <c r="A171" s="49" t="s">
        <v>197</v>
      </c>
      <c r="B171" s="46">
        <v>123</v>
      </c>
      <c r="C171" s="46">
        <v>80</v>
      </c>
      <c r="D171" s="46">
        <v>67</v>
      </c>
      <c r="E171" s="47">
        <v>270</v>
      </c>
    </row>
    <row r="172" spans="1:5">
      <c r="A172" s="49" t="s">
        <v>198</v>
      </c>
      <c r="B172" s="46">
        <v>21</v>
      </c>
      <c r="C172" s="46">
        <v>28</v>
      </c>
      <c r="D172" s="46">
        <v>14</v>
      </c>
      <c r="E172" s="47">
        <v>63</v>
      </c>
    </row>
    <row r="173" spans="1:5">
      <c r="A173" s="49" t="s">
        <v>199</v>
      </c>
      <c r="B173" s="46">
        <v>0</v>
      </c>
      <c r="C173" s="46">
        <v>4</v>
      </c>
      <c r="D173" s="46">
        <v>7</v>
      </c>
      <c r="E173" s="47">
        <v>11</v>
      </c>
    </row>
    <row r="174" spans="1:5">
      <c r="A174" s="49" t="s">
        <v>200</v>
      </c>
      <c r="B174" s="46">
        <v>933</v>
      </c>
      <c r="C174" s="46">
        <v>1941</v>
      </c>
      <c r="D174" s="46">
        <v>2302</v>
      </c>
      <c r="E174" s="47">
        <v>5176</v>
      </c>
    </row>
    <row r="175" spans="1:5">
      <c r="A175" s="49" t="s">
        <v>201</v>
      </c>
      <c r="B175" s="46">
        <v>3</v>
      </c>
      <c r="C175" s="46">
        <v>7</v>
      </c>
      <c r="D175" s="46">
        <v>3</v>
      </c>
      <c r="E175" s="47">
        <v>13</v>
      </c>
    </row>
    <row r="176" spans="1:5">
      <c r="A176" s="49" t="s">
        <v>202</v>
      </c>
      <c r="B176" s="46">
        <v>102</v>
      </c>
      <c r="C176" s="46">
        <v>259</v>
      </c>
      <c r="D176" s="46">
        <v>473</v>
      </c>
      <c r="E176" s="47">
        <v>834</v>
      </c>
    </row>
    <row r="177" spans="1:5">
      <c r="A177" s="49" t="s">
        <v>203</v>
      </c>
      <c r="B177" s="46">
        <v>92</v>
      </c>
      <c r="C177" s="46">
        <v>27</v>
      </c>
      <c r="D177" s="46">
        <v>20</v>
      </c>
      <c r="E177" s="47">
        <v>139</v>
      </c>
    </row>
    <row r="178" spans="1:5">
      <c r="A178" s="49" t="s">
        <v>204</v>
      </c>
      <c r="B178" s="46">
        <v>546</v>
      </c>
      <c r="C178" s="46">
        <v>1148</v>
      </c>
      <c r="D178" s="46">
        <v>1022</v>
      </c>
      <c r="E178" s="47">
        <v>2716</v>
      </c>
    </row>
    <row r="179" spans="1:5">
      <c r="A179" s="49" t="s">
        <v>205</v>
      </c>
      <c r="B179" s="46">
        <v>8</v>
      </c>
      <c r="C179" s="46">
        <v>0</v>
      </c>
      <c r="D179" s="46">
        <v>6</v>
      </c>
      <c r="E179" s="47">
        <v>14</v>
      </c>
    </row>
    <row r="180" spans="1:5">
      <c r="A180" s="49" t="s">
        <v>206</v>
      </c>
      <c r="B180" s="46">
        <v>21</v>
      </c>
      <c r="C180" s="46">
        <v>29</v>
      </c>
      <c r="D180" s="46">
        <v>53</v>
      </c>
      <c r="E180" s="47">
        <v>103</v>
      </c>
    </row>
    <row r="181" spans="1:5">
      <c r="A181" s="49" t="s">
        <v>207</v>
      </c>
      <c r="B181" s="46">
        <v>31</v>
      </c>
      <c r="C181" s="46">
        <v>108</v>
      </c>
      <c r="D181" s="46">
        <v>42</v>
      </c>
      <c r="E181" s="47">
        <v>181</v>
      </c>
    </row>
    <row r="182" spans="1:5">
      <c r="A182" s="49" t="s">
        <v>208</v>
      </c>
      <c r="B182" s="46">
        <v>41</v>
      </c>
      <c r="C182" s="46">
        <v>0</v>
      </c>
      <c r="D182" s="46">
        <v>0</v>
      </c>
      <c r="E182" s="47">
        <v>41</v>
      </c>
    </row>
    <row r="183" spans="1:5">
      <c r="A183" s="49" t="s">
        <v>209</v>
      </c>
      <c r="B183" s="46">
        <v>550</v>
      </c>
      <c r="C183" s="46">
        <v>1221</v>
      </c>
      <c r="D183" s="46">
        <v>2061</v>
      </c>
      <c r="E183" s="47">
        <v>3832</v>
      </c>
    </row>
    <row r="184" spans="1:5">
      <c r="A184" s="49" t="s">
        <v>210</v>
      </c>
      <c r="B184" s="46">
        <v>3</v>
      </c>
      <c r="C184" s="46">
        <v>4</v>
      </c>
      <c r="D184" s="46">
        <v>17</v>
      </c>
      <c r="E184" s="47">
        <v>24</v>
      </c>
    </row>
    <row r="185" spans="1:5">
      <c r="A185" s="49" t="s">
        <v>211</v>
      </c>
      <c r="B185" s="46">
        <v>1</v>
      </c>
      <c r="C185" s="46">
        <v>3</v>
      </c>
      <c r="D185" s="46">
        <v>0</v>
      </c>
      <c r="E185" s="47">
        <v>4</v>
      </c>
    </row>
    <row r="186" spans="1:5">
      <c r="A186" s="49" t="s">
        <v>212</v>
      </c>
      <c r="B186" s="46">
        <v>5</v>
      </c>
      <c r="C186" s="46">
        <v>19</v>
      </c>
      <c r="D186" s="46">
        <v>3</v>
      </c>
      <c r="E186" s="47">
        <v>27</v>
      </c>
    </row>
    <row r="187" spans="1:5">
      <c r="A187" s="49" t="s">
        <v>213</v>
      </c>
      <c r="B187" s="46">
        <v>6</v>
      </c>
      <c r="C187" s="46">
        <v>11</v>
      </c>
      <c r="D187" s="46">
        <v>7</v>
      </c>
      <c r="E187" s="47">
        <v>24</v>
      </c>
    </row>
    <row r="188" spans="1:5">
      <c r="A188" s="49" t="s">
        <v>214</v>
      </c>
      <c r="B188" s="46">
        <v>3</v>
      </c>
      <c r="C188" s="46">
        <v>3</v>
      </c>
      <c r="D188" s="46">
        <v>1</v>
      </c>
      <c r="E188" s="47">
        <v>7</v>
      </c>
    </row>
    <row r="189" spans="1:5">
      <c r="A189" s="49" t="s">
        <v>215</v>
      </c>
      <c r="B189" s="46">
        <v>0</v>
      </c>
      <c r="C189" s="46">
        <v>1</v>
      </c>
      <c r="D189" s="46">
        <v>1</v>
      </c>
      <c r="E189" s="47">
        <v>2</v>
      </c>
    </row>
    <row r="190" spans="1:5">
      <c r="A190" s="49" t="s">
        <v>216</v>
      </c>
      <c r="B190" s="46">
        <v>4</v>
      </c>
      <c r="C190" s="46">
        <v>1</v>
      </c>
      <c r="D190" s="46">
        <v>5</v>
      </c>
      <c r="E190" s="47">
        <v>10</v>
      </c>
    </row>
    <row r="191" spans="1:5">
      <c r="A191" s="49" t="s">
        <v>217</v>
      </c>
      <c r="B191" s="46">
        <v>0</v>
      </c>
      <c r="C191" s="46">
        <v>1</v>
      </c>
      <c r="D191" s="46">
        <v>1</v>
      </c>
      <c r="E191" s="47">
        <v>2</v>
      </c>
    </row>
    <row r="192" spans="1:5">
      <c r="A192" s="49" t="s">
        <v>218</v>
      </c>
      <c r="B192" s="46">
        <v>118</v>
      </c>
      <c r="C192" s="46">
        <v>64</v>
      </c>
      <c r="D192" s="46">
        <v>59</v>
      </c>
      <c r="E192" s="47">
        <v>241</v>
      </c>
    </row>
    <row r="193" spans="1:5">
      <c r="A193" s="49" t="s">
        <v>219</v>
      </c>
      <c r="B193" s="46">
        <v>391</v>
      </c>
      <c r="C193" s="46">
        <v>546</v>
      </c>
      <c r="D193" s="46">
        <v>656</v>
      </c>
      <c r="E193" s="47">
        <v>1593</v>
      </c>
    </row>
    <row r="194" spans="1:5">
      <c r="A194" s="49" t="s">
        <v>220</v>
      </c>
      <c r="B194" s="46">
        <v>30</v>
      </c>
      <c r="C194" s="46">
        <v>86</v>
      </c>
      <c r="D194" s="46">
        <v>92</v>
      </c>
      <c r="E194" s="47">
        <v>208</v>
      </c>
    </row>
    <row r="195" spans="1:5">
      <c r="A195" s="49" t="s">
        <v>221</v>
      </c>
      <c r="B195" s="46">
        <v>34</v>
      </c>
      <c r="C195" s="46">
        <v>136</v>
      </c>
      <c r="D195" s="46">
        <v>66</v>
      </c>
      <c r="E195" s="47">
        <v>236</v>
      </c>
    </row>
    <row r="196" spans="1:5">
      <c r="A196" s="49" t="s">
        <v>222</v>
      </c>
      <c r="B196" s="46">
        <v>0</v>
      </c>
      <c r="C196" s="46">
        <v>0</v>
      </c>
      <c r="D196" s="46">
        <v>1</v>
      </c>
      <c r="E196" s="47">
        <v>1</v>
      </c>
    </row>
    <row r="197" spans="1:5">
      <c r="A197" s="49" t="s">
        <v>223</v>
      </c>
      <c r="B197" s="46">
        <v>285</v>
      </c>
      <c r="C197" s="46">
        <v>651</v>
      </c>
      <c r="D197" s="46">
        <v>579</v>
      </c>
      <c r="E197" s="47">
        <v>1515</v>
      </c>
    </row>
    <row r="198" spans="1:5">
      <c r="A198" s="49" t="s">
        <v>224</v>
      </c>
      <c r="B198" s="46">
        <v>20</v>
      </c>
      <c r="C198" s="46">
        <v>64</v>
      </c>
      <c r="D198" s="46">
        <v>57</v>
      </c>
      <c r="E198" s="47">
        <v>141</v>
      </c>
    </row>
    <row r="199" spans="1:5">
      <c r="A199" s="49" t="s">
        <v>225</v>
      </c>
      <c r="B199" s="46">
        <v>10</v>
      </c>
      <c r="C199" s="46">
        <v>28</v>
      </c>
      <c r="D199" s="46">
        <v>27</v>
      </c>
      <c r="E199" s="47">
        <v>65</v>
      </c>
    </row>
    <row r="200" spans="1:5">
      <c r="A200" s="49" t="s">
        <v>226</v>
      </c>
      <c r="B200" s="46">
        <v>18</v>
      </c>
      <c r="C200" s="46">
        <v>50</v>
      </c>
      <c r="D200" s="46">
        <v>111</v>
      </c>
      <c r="E200" s="47">
        <v>179</v>
      </c>
    </row>
    <row r="201" spans="1:5">
      <c r="A201" s="49" t="s">
        <v>227</v>
      </c>
      <c r="B201" s="46">
        <v>0</v>
      </c>
      <c r="C201" s="46">
        <v>0</v>
      </c>
      <c r="D201" s="46">
        <v>1</v>
      </c>
      <c r="E201" s="47">
        <v>1</v>
      </c>
    </row>
    <row r="202" spans="1:5">
      <c r="A202" s="49" t="s">
        <v>228</v>
      </c>
      <c r="B202" s="46">
        <v>2</v>
      </c>
      <c r="C202" s="46">
        <v>0</v>
      </c>
      <c r="D202" s="46">
        <v>1</v>
      </c>
      <c r="E202" s="47">
        <v>3</v>
      </c>
    </row>
    <row r="203" spans="1:5">
      <c r="A203" s="49" t="s">
        <v>229</v>
      </c>
      <c r="B203" s="46">
        <v>7</v>
      </c>
      <c r="C203" s="46">
        <v>10</v>
      </c>
      <c r="D203" s="46">
        <v>21</v>
      </c>
      <c r="E203" s="47">
        <v>38</v>
      </c>
    </row>
    <row r="204" spans="1:5">
      <c r="A204" s="49" t="s">
        <v>230</v>
      </c>
      <c r="B204" s="46">
        <v>70</v>
      </c>
      <c r="C204" s="46">
        <v>143</v>
      </c>
      <c r="D204" s="46">
        <v>160</v>
      </c>
      <c r="E204" s="47">
        <v>373</v>
      </c>
    </row>
    <row r="205" spans="1:5">
      <c r="A205" s="49" t="s">
        <v>231</v>
      </c>
      <c r="B205" s="46">
        <v>277</v>
      </c>
      <c r="C205" s="46">
        <v>593</v>
      </c>
      <c r="D205" s="46">
        <v>742</v>
      </c>
      <c r="E205" s="47">
        <v>1612</v>
      </c>
    </row>
    <row r="206" spans="1:5">
      <c r="A206" s="49" t="s">
        <v>232</v>
      </c>
      <c r="B206" s="46">
        <v>38</v>
      </c>
      <c r="C206" s="46">
        <v>34</v>
      </c>
      <c r="D206" s="46">
        <v>88</v>
      </c>
      <c r="E206" s="47">
        <v>160</v>
      </c>
    </row>
    <row r="207" spans="1:5">
      <c r="A207" s="49" t="s">
        <v>233</v>
      </c>
      <c r="B207" s="46">
        <v>0</v>
      </c>
      <c r="C207" s="46">
        <v>0</v>
      </c>
      <c r="D207" s="46">
        <v>1</v>
      </c>
      <c r="E207" s="47">
        <v>1</v>
      </c>
    </row>
    <row r="208" spans="1:5">
      <c r="A208" s="56"/>
      <c r="B208" s="57"/>
      <c r="C208" s="57"/>
      <c r="D208" s="57"/>
      <c r="E208" s="8"/>
    </row>
    <row r="209" spans="1:5">
      <c r="A209" s="42" t="s">
        <v>234</v>
      </c>
      <c r="B209" s="43">
        <f>SUM(B210:B220)</f>
        <v>138</v>
      </c>
      <c r="C209" s="43">
        <f>SUM(C210:C220)</f>
        <v>110</v>
      </c>
      <c r="D209" s="43">
        <f>SUM(D210:D220)</f>
        <v>108</v>
      </c>
      <c r="E209" s="44">
        <f>SUM(E210:E220)</f>
        <v>356</v>
      </c>
    </row>
    <row r="210" spans="1:5">
      <c r="A210" s="56" t="s">
        <v>235</v>
      </c>
      <c r="B210" s="57">
        <v>69</v>
      </c>
      <c r="C210" s="57">
        <v>89</v>
      </c>
      <c r="D210" s="57">
        <v>82</v>
      </c>
      <c r="E210" s="47">
        <v>240</v>
      </c>
    </row>
    <row r="211" spans="1:5">
      <c r="A211" s="56" t="s">
        <v>236</v>
      </c>
      <c r="B211" s="57">
        <v>2</v>
      </c>
      <c r="C211" s="57">
        <v>0</v>
      </c>
      <c r="D211" s="57">
        <v>0</v>
      </c>
      <c r="E211" s="47">
        <v>2</v>
      </c>
    </row>
    <row r="212" spans="1:5">
      <c r="A212" s="56" t="s">
        <v>237</v>
      </c>
      <c r="B212" s="57">
        <v>1</v>
      </c>
      <c r="C212" s="57">
        <v>0</v>
      </c>
      <c r="D212" s="57">
        <v>2</v>
      </c>
      <c r="E212" s="47">
        <v>3</v>
      </c>
    </row>
    <row r="213" spans="1:5">
      <c r="A213" s="56" t="s">
        <v>238</v>
      </c>
      <c r="B213" s="57">
        <v>1</v>
      </c>
      <c r="C213" s="57">
        <v>0</v>
      </c>
      <c r="D213" s="57">
        <v>0</v>
      </c>
      <c r="E213" s="47">
        <v>1</v>
      </c>
    </row>
    <row r="214" spans="1:5">
      <c r="A214" s="56" t="s">
        <v>239</v>
      </c>
      <c r="B214" s="57">
        <v>2</v>
      </c>
      <c r="C214" s="57">
        <v>0</v>
      </c>
      <c r="D214" s="57">
        <v>0</v>
      </c>
      <c r="E214" s="47">
        <v>2</v>
      </c>
    </row>
    <row r="215" spans="1:5">
      <c r="A215" s="56" t="s">
        <v>240</v>
      </c>
      <c r="B215" s="57">
        <v>1</v>
      </c>
      <c r="C215" s="57">
        <v>0</v>
      </c>
      <c r="D215" s="57">
        <v>3</v>
      </c>
      <c r="E215" s="47">
        <v>4</v>
      </c>
    </row>
    <row r="216" spans="1:5">
      <c r="A216" s="56" t="s">
        <v>241</v>
      </c>
      <c r="B216" s="57">
        <v>1</v>
      </c>
      <c r="C216" s="57">
        <v>0</v>
      </c>
      <c r="D216" s="57">
        <v>0</v>
      </c>
      <c r="E216" s="47">
        <v>1</v>
      </c>
    </row>
    <row r="217" spans="1:5">
      <c r="A217" s="56" t="s">
        <v>242</v>
      </c>
      <c r="B217" s="57">
        <v>56</v>
      </c>
      <c r="C217" s="57">
        <v>17</v>
      </c>
      <c r="D217" s="57">
        <v>20</v>
      </c>
      <c r="E217" s="47">
        <v>93</v>
      </c>
    </row>
    <row r="218" spans="1:5">
      <c r="A218" s="56" t="s">
        <v>181</v>
      </c>
      <c r="B218" s="57">
        <v>2</v>
      </c>
      <c r="C218" s="57">
        <v>0</v>
      </c>
      <c r="D218" s="57">
        <v>0</v>
      </c>
      <c r="E218" s="47">
        <v>2</v>
      </c>
    </row>
    <row r="219" spans="1:5">
      <c r="A219" s="56" t="s">
        <v>243</v>
      </c>
      <c r="B219" s="57">
        <v>0</v>
      </c>
      <c r="C219" s="57">
        <v>2</v>
      </c>
      <c r="D219" s="57">
        <v>0</v>
      </c>
      <c r="E219" s="47">
        <v>2</v>
      </c>
    </row>
    <row r="220" spans="1:5">
      <c r="A220" s="56" t="s">
        <v>244</v>
      </c>
      <c r="B220" s="57">
        <v>3</v>
      </c>
      <c r="C220" s="57">
        <v>2</v>
      </c>
      <c r="D220" s="57">
        <v>1</v>
      </c>
      <c r="E220" s="47">
        <v>6</v>
      </c>
    </row>
    <row r="221" spans="1:5">
      <c r="A221" s="56"/>
      <c r="B221" s="57"/>
      <c r="C221" s="57"/>
      <c r="D221" s="57"/>
      <c r="E221" s="8"/>
    </row>
    <row r="222" spans="1:5">
      <c r="A222" s="42" t="s">
        <v>245</v>
      </c>
      <c r="B222" s="43">
        <f>B223+B224</f>
        <v>43</v>
      </c>
      <c r="C222" s="43">
        <f>C223+C224</f>
        <v>0</v>
      </c>
      <c r="D222" s="43">
        <f>D223+D224</f>
        <v>13</v>
      </c>
      <c r="E222" s="44">
        <f>E223+E224</f>
        <v>56</v>
      </c>
    </row>
    <row r="223" spans="1:5">
      <c r="A223" s="56" t="s">
        <v>246</v>
      </c>
      <c r="B223" s="57">
        <v>11</v>
      </c>
      <c r="C223" s="57">
        <v>0</v>
      </c>
      <c r="D223" s="57">
        <v>6</v>
      </c>
      <c r="E223" s="47">
        <v>17</v>
      </c>
    </row>
    <row r="224" spans="1:5">
      <c r="A224" s="56" t="s">
        <v>247</v>
      </c>
      <c r="B224" s="57">
        <v>32</v>
      </c>
      <c r="C224" s="57">
        <v>0</v>
      </c>
      <c r="D224" s="57">
        <v>7</v>
      </c>
      <c r="E224" s="47">
        <f>B224+D224</f>
        <v>39</v>
      </c>
    </row>
    <row r="225" spans="1:6">
      <c r="A225" s="60"/>
      <c r="B225" s="61"/>
      <c r="C225" s="61"/>
      <c r="D225" s="61"/>
      <c r="E225" s="10"/>
      <c r="F225" t="s">
        <v>248</v>
      </c>
    </row>
    <row r="226" spans="1:6" ht="39" customHeight="1">
      <c r="A226" s="148" t="s">
        <v>249</v>
      </c>
      <c r="B226" s="148"/>
      <c r="C226" s="148"/>
      <c r="D226" s="148"/>
      <c r="E226" s="148"/>
    </row>
    <row r="227" spans="1:6" ht="20.25" customHeight="1">
      <c r="A227" s="148" t="s">
        <v>250</v>
      </c>
      <c r="B227" s="148"/>
      <c r="C227" s="148"/>
      <c r="D227" s="148"/>
      <c r="E227" s="148"/>
    </row>
    <row r="228" spans="1:6" ht="20.25" customHeight="1">
      <c r="A228" s="148" t="s">
        <v>251</v>
      </c>
      <c r="B228" s="148"/>
      <c r="C228" s="148"/>
      <c r="D228" s="148"/>
      <c r="E228" s="148"/>
    </row>
    <row r="229" spans="1:6">
      <c r="A229" s="148" t="s">
        <v>16</v>
      </c>
      <c r="B229" s="148"/>
      <c r="C229" s="148"/>
      <c r="D229" s="148"/>
      <c r="E229" s="148"/>
    </row>
    <row r="230" spans="1:6" ht="30" customHeight="1">
      <c r="A230" s="148" t="s">
        <v>252</v>
      </c>
      <c r="B230" s="148"/>
      <c r="C230" s="148"/>
      <c r="D230" s="148"/>
      <c r="E230" s="148"/>
    </row>
  </sheetData>
  <mergeCells count="11">
    <mergeCell ref="A226:E226"/>
    <mergeCell ref="A227:E227"/>
    <mergeCell ref="A228:E228"/>
    <mergeCell ref="A229:E229"/>
    <mergeCell ref="A230:E230"/>
    <mergeCell ref="A1:E1"/>
    <mergeCell ref="A2:E2"/>
    <mergeCell ref="A3:E3"/>
    <mergeCell ref="A4:E4"/>
    <mergeCell ref="A6:A7"/>
    <mergeCell ref="E6:E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1"/>
  <sheetViews>
    <sheetView topLeftCell="A62" workbookViewId="0">
      <selection activeCell="A74" sqref="A74:B75"/>
    </sheetView>
  </sheetViews>
  <sheetFormatPr baseColWidth="10" defaultRowHeight="12.75"/>
  <cols>
    <col min="1" max="1" width="29.28515625" style="62" customWidth="1"/>
    <col min="2" max="2" width="23.28515625" style="62" customWidth="1"/>
    <col min="3" max="256" width="11.42578125" style="62"/>
    <col min="257" max="257" width="29.28515625" style="62" customWidth="1"/>
    <col min="258" max="258" width="23.28515625" style="62" customWidth="1"/>
    <col min="259" max="512" width="11.42578125" style="62"/>
    <col min="513" max="513" width="29.28515625" style="62" customWidth="1"/>
    <col min="514" max="514" width="23.28515625" style="62" customWidth="1"/>
    <col min="515" max="768" width="11.42578125" style="62"/>
    <col min="769" max="769" width="29.28515625" style="62" customWidth="1"/>
    <col min="770" max="770" width="23.28515625" style="62" customWidth="1"/>
    <col min="771" max="1024" width="11.42578125" style="62"/>
    <col min="1025" max="1025" width="29.28515625" style="62" customWidth="1"/>
    <col min="1026" max="1026" width="23.28515625" style="62" customWidth="1"/>
    <col min="1027" max="1280" width="11.42578125" style="62"/>
    <col min="1281" max="1281" width="29.28515625" style="62" customWidth="1"/>
    <col min="1282" max="1282" width="23.28515625" style="62" customWidth="1"/>
    <col min="1283" max="1536" width="11.42578125" style="62"/>
    <col min="1537" max="1537" width="29.28515625" style="62" customWidth="1"/>
    <col min="1538" max="1538" width="23.28515625" style="62" customWidth="1"/>
    <col min="1539" max="1792" width="11.42578125" style="62"/>
    <col min="1793" max="1793" width="29.28515625" style="62" customWidth="1"/>
    <col min="1794" max="1794" width="23.28515625" style="62" customWidth="1"/>
    <col min="1795" max="2048" width="11.42578125" style="62"/>
    <col min="2049" max="2049" width="29.28515625" style="62" customWidth="1"/>
    <col min="2050" max="2050" width="23.28515625" style="62" customWidth="1"/>
    <col min="2051" max="2304" width="11.42578125" style="62"/>
    <col min="2305" max="2305" width="29.28515625" style="62" customWidth="1"/>
    <col min="2306" max="2306" width="23.28515625" style="62" customWidth="1"/>
    <col min="2307" max="2560" width="11.42578125" style="62"/>
    <col min="2561" max="2561" width="29.28515625" style="62" customWidth="1"/>
    <col min="2562" max="2562" width="23.28515625" style="62" customWidth="1"/>
    <col min="2563" max="2816" width="11.42578125" style="62"/>
    <col min="2817" max="2817" width="29.28515625" style="62" customWidth="1"/>
    <col min="2818" max="2818" width="23.28515625" style="62" customWidth="1"/>
    <col min="2819" max="3072" width="11.42578125" style="62"/>
    <col min="3073" max="3073" width="29.28515625" style="62" customWidth="1"/>
    <col min="3074" max="3074" width="23.28515625" style="62" customWidth="1"/>
    <col min="3075" max="3328" width="11.42578125" style="62"/>
    <col min="3329" max="3329" width="29.28515625" style="62" customWidth="1"/>
    <col min="3330" max="3330" width="23.28515625" style="62" customWidth="1"/>
    <col min="3331" max="3584" width="11.42578125" style="62"/>
    <col min="3585" max="3585" width="29.28515625" style="62" customWidth="1"/>
    <col min="3586" max="3586" width="23.28515625" style="62" customWidth="1"/>
    <col min="3587" max="3840" width="11.42578125" style="62"/>
    <col min="3841" max="3841" width="29.28515625" style="62" customWidth="1"/>
    <col min="3842" max="3842" width="23.28515625" style="62" customWidth="1"/>
    <col min="3843" max="4096" width="11.42578125" style="62"/>
    <col min="4097" max="4097" width="29.28515625" style="62" customWidth="1"/>
    <col min="4098" max="4098" width="23.28515625" style="62" customWidth="1"/>
    <col min="4099" max="4352" width="11.42578125" style="62"/>
    <col min="4353" max="4353" width="29.28515625" style="62" customWidth="1"/>
    <col min="4354" max="4354" width="23.28515625" style="62" customWidth="1"/>
    <col min="4355" max="4608" width="11.42578125" style="62"/>
    <col min="4609" max="4609" width="29.28515625" style="62" customWidth="1"/>
    <col min="4610" max="4610" width="23.28515625" style="62" customWidth="1"/>
    <col min="4611" max="4864" width="11.42578125" style="62"/>
    <col min="4865" max="4865" width="29.28515625" style="62" customWidth="1"/>
    <col min="4866" max="4866" width="23.28515625" style="62" customWidth="1"/>
    <col min="4867" max="5120" width="11.42578125" style="62"/>
    <col min="5121" max="5121" width="29.28515625" style="62" customWidth="1"/>
    <col min="5122" max="5122" width="23.28515625" style="62" customWidth="1"/>
    <col min="5123" max="5376" width="11.42578125" style="62"/>
    <col min="5377" max="5377" width="29.28515625" style="62" customWidth="1"/>
    <col min="5378" max="5378" width="23.28515625" style="62" customWidth="1"/>
    <col min="5379" max="5632" width="11.42578125" style="62"/>
    <col min="5633" max="5633" width="29.28515625" style="62" customWidth="1"/>
    <col min="5634" max="5634" width="23.28515625" style="62" customWidth="1"/>
    <col min="5635" max="5888" width="11.42578125" style="62"/>
    <col min="5889" max="5889" width="29.28515625" style="62" customWidth="1"/>
    <col min="5890" max="5890" width="23.28515625" style="62" customWidth="1"/>
    <col min="5891" max="6144" width="11.42578125" style="62"/>
    <col min="6145" max="6145" width="29.28515625" style="62" customWidth="1"/>
    <col min="6146" max="6146" width="23.28515625" style="62" customWidth="1"/>
    <col min="6147" max="6400" width="11.42578125" style="62"/>
    <col min="6401" max="6401" width="29.28515625" style="62" customWidth="1"/>
    <col min="6402" max="6402" width="23.28515625" style="62" customWidth="1"/>
    <col min="6403" max="6656" width="11.42578125" style="62"/>
    <col min="6657" max="6657" width="29.28515625" style="62" customWidth="1"/>
    <col min="6658" max="6658" width="23.28515625" style="62" customWidth="1"/>
    <col min="6659" max="6912" width="11.42578125" style="62"/>
    <col min="6913" max="6913" width="29.28515625" style="62" customWidth="1"/>
    <col min="6914" max="6914" width="23.28515625" style="62" customWidth="1"/>
    <col min="6915" max="7168" width="11.42578125" style="62"/>
    <col min="7169" max="7169" width="29.28515625" style="62" customWidth="1"/>
    <col min="7170" max="7170" width="23.28515625" style="62" customWidth="1"/>
    <col min="7171" max="7424" width="11.42578125" style="62"/>
    <col min="7425" max="7425" width="29.28515625" style="62" customWidth="1"/>
    <col min="7426" max="7426" width="23.28515625" style="62" customWidth="1"/>
    <col min="7427" max="7680" width="11.42578125" style="62"/>
    <col min="7681" max="7681" width="29.28515625" style="62" customWidth="1"/>
    <col min="7682" max="7682" width="23.28515625" style="62" customWidth="1"/>
    <col min="7683" max="7936" width="11.42578125" style="62"/>
    <col min="7937" max="7937" width="29.28515625" style="62" customWidth="1"/>
    <col min="7938" max="7938" width="23.28515625" style="62" customWidth="1"/>
    <col min="7939" max="8192" width="11.42578125" style="62"/>
    <col min="8193" max="8193" width="29.28515625" style="62" customWidth="1"/>
    <col min="8194" max="8194" width="23.28515625" style="62" customWidth="1"/>
    <col min="8195" max="8448" width="11.42578125" style="62"/>
    <col min="8449" max="8449" width="29.28515625" style="62" customWidth="1"/>
    <col min="8450" max="8450" width="23.28515625" style="62" customWidth="1"/>
    <col min="8451" max="8704" width="11.42578125" style="62"/>
    <col min="8705" max="8705" width="29.28515625" style="62" customWidth="1"/>
    <col min="8706" max="8706" width="23.28515625" style="62" customWidth="1"/>
    <col min="8707" max="8960" width="11.42578125" style="62"/>
    <col min="8961" max="8961" width="29.28515625" style="62" customWidth="1"/>
    <col min="8962" max="8962" width="23.28515625" style="62" customWidth="1"/>
    <col min="8963" max="9216" width="11.42578125" style="62"/>
    <col min="9217" max="9217" width="29.28515625" style="62" customWidth="1"/>
    <col min="9218" max="9218" width="23.28515625" style="62" customWidth="1"/>
    <col min="9219" max="9472" width="11.42578125" style="62"/>
    <col min="9473" max="9473" width="29.28515625" style="62" customWidth="1"/>
    <col min="9474" max="9474" width="23.28515625" style="62" customWidth="1"/>
    <col min="9475" max="9728" width="11.42578125" style="62"/>
    <col min="9729" max="9729" width="29.28515625" style="62" customWidth="1"/>
    <col min="9730" max="9730" width="23.28515625" style="62" customWidth="1"/>
    <col min="9731" max="9984" width="11.42578125" style="62"/>
    <col min="9985" max="9985" width="29.28515625" style="62" customWidth="1"/>
    <col min="9986" max="9986" width="23.28515625" style="62" customWidth="1"/>
    <col min="9987" max="10240" width="11.42578125" style="62"/>
    <col min="10241" max="10241" width="29.28515625" style="62" customWidth="1"/>
    <col min="10242" max="10242" width="23.28515625" style="62" customWidth="1"/>
    <col min="10243" max="10496" width="11.42578125" style="62"/>
    <col min="10497" max="10497" width="29.28515625" style="62" customWidth="1"/>
    <col min="10498" max="10498" width="23.28515625" style="62" customWidth="1"/>
    <col min="10499" max="10752" width="11.42578125" style="62"/>
    <col min="10753" max="10753" width="29.28515625" style="62" customWidth="1"/>
    <col min="10754" max="10754" width="23.28515625" style="62" customWidth="1"/>
    <col min="10755" max="11008" width="11.42578125" style="62"/>
    <col min="11009" max="11009" width="29.28515625" style="62" customWidth="1"/>
    <col min="11010" max="11010" width="23.28515625" style="62" customWidth="1"/>
    <col min="11011" max="11264" width="11.42578125" style="62"/>
    <col min="11265" max="11265" width="29.28515625" style="62" customWidth="1"/>
    <col min="11266" max="11266" width="23.28515625" style="62" customWidth="1"/>
    <col min="11267" max="11520" width="11.42578125" style="62"/>
    <col min="11521" max="11521" width="29.28515625" style="62" customWidth="1"/>
    <col min="11522" max="11522" width="23.28515625" style="62" customWidth="1"/>
    <col min="11523" max="11776" width="11.42578125" style="62"/>
    <col min="11777" max="11777" width="29.28515625" style="62" customWidth="1"/>
    <col min="11778" max="11778" width="23.28515625" style="62" customWidth="1"/>
    <col min="11779" max="12032" width="11.42578125" style="62"/>
    <col min="12033" max="12033" width="29.28515625" style="62" customWidth="1"/>
    <col min="12034" max="12034" width="23.28515625" style="62" customWidth="1"/>
    <col min="12035" max="12288" width="11.42578125" style="62"/>
    <col min="12289" max="12289" width="29.28515625" style="62" customWidth="1"/>
    <col min="12290" max="12290" width="23.28515625" style="62" customWidth="1"/>
    <col min="12291" max="12544" width="11.42578125" style="62"/>
    <col min="12545" max="12545" width="29.28515625" style="62" customWidth="1"/>
    <col min="12546" max="12546" width="23.28515625" style="62" customWidth="1"/>
    <col min="12547" max="12800" width="11.42578125" style="62"/>
    <col min="12801" max="12801" width="29.28515625" style="62" customWidth="1"/>
    <col min="12802" max="12802" width="23.28515625" style="62" customWidth="1"/>
    <col min="12803" max="13056" width="11.42578125" style="62"/>
    <col min="13057" max="13057" width="29.28515625" style="62" customWidth="1"/>
    <col min="13058" max="13058" width="23.28515625" style="62" customWidth="1"/>
    <col min="13059" max="13312" width="11.42578125" style="62"/>
    <col min="13313" max="13313" width="29.28515625" style="62" customWidth="1"/>
    <col min="13314" max="13314" width="23.28515625" style="62" customWidth="1"/>
    <col min="13315" max="13568" width="11.42578125" style="62"/>
    <col min="13569" max="13569" width="29.28515625" style="62" customWidth="1"/>
    <col min="13570" max="13570" width="23.28515625" style="62" customWidth="1"/>
    <col min="13571" max="13824" width="11.42578125" style="62"/>
    <col min="13825" max="13825" width="29.28515625" style="62" customWidth="1"/>
    <col min="13826" max="13826" width="23.28515625" style="62" customWidth="1"/>
    <col min="13827" max="14080" width="11.42578125" style="62"/>
    <col min="14081" max="14081" width="29.28515625" style="62" customWidth="1"/>
    <col min="14082" max="14082" width="23.28515625" style="62" customWidth="1"/>
    <col min="14083" max="14336" width="11.42578125" style="62"/>
    <col min="14337" max="14337" width="29.28515625" style="62" customWidth="1"/>
    <col min="14338" max="14338" width="23.28515625" style="62" customWidth="1"/>
    <col min="14339" max="14592" width="11.42578125" style="62"/>
    <col min="14593" max="14593" width="29.28515625" style="62" customWidth="1"/>
    <col min="14594" max="14594" width="23.28515625" style="62" customWidth="1"/>
    <col min="14595" max="14848" width="11.42578125" style="62"/>
    <col min="14849" max="14849" width="29.28515625" style="62" customWidth="1"/>
    <col min="14850" max="14850" width="23.28515625" style="62" customWidth="1"/>
    <col min="14851" max="15104" width="11.42578125" style="62"/>
    <col min="15105" max="15105" width="29.28515625" style="62" customWidth="1"/>
    <col min="15106" max="15106" width="23.28515625" style="62" customWidth="1"/>
    <col min="15107" max="15360" width="11.42578125" style="62"/>
    <col min="15361" max="15361" width="29.28515625" style="62" customWidth="1"/>
    <col min="15362" max="15362" width="23.28515625" style="62" customWidth="1"/>
    <col min="15363" max="15616" width="11.42578125" style="62"/>
    <col min="15617" max="15617" width="29.28515625" style="62" customWidth="1"/>
    <col min="15618" max="15618" width="23.28515625" style="62" customWidth="1"/>
    <col min="15619" max="15872" width="11.42578125" style="62"/>
    <col min="15873" max="15873" width="29.28515625" style="62" customWidth="1"/>
    <col min="15874" max="15874" width="23.28515625" style="62" customWidth="1"/>
    <col min="15875" max="16128" width="11.42578125" style="62"/>
    <col min="16129" max="16129" width="29.28515625" style="62" customWidth="1"/>
    <col min="16130" max="16130" width="23.28515625" style="62" customWidth="1"/>
    <col min="16131" max="16384" width="11.42578125" style="62"/>
  </cols>
  <sheetData>
    <row r="1" spans="1:2">
      <c r="A1" s="151"/>
      <c r="B1" s="151"/>
    </row>
    <row r="2" spans="1:2">
      <c r="A2" s="151" t="s">
        <v>18</v>
      </c>
      <c r="B2" s="151"/>
    </row>
    <row r="3" spans="1:2">
      <c r="A3" s="151" t="s">
        <v>253</v>
      </c>
      <c r="B3" s="151"/>
    </row>
    <row r="4" spans="1:2">
      <c r="A4" s="151" t="s">
        <v>254</v>
      </c>
      <c r="B4" s="151"/>
    </row>
    <row r="5" spans="1:2">
      <c r="A5" s="151" t="s">
        <v>255</v>
      </c>
      <c r="B5" s="151"/>
    </row>
    <row r="6" spans="1:2">
      <c r="A6" s="151" t="s">
        <v>256</v>
      </c>
      <c r="B6" s="151"/>
    </row>
    <row r="7" spans="1:2">
      <c r="A7" s="149"/>
      <c r="B7" s="149"/>
    </row>
    <row r="9" spans="1:2" ht="25.5">
      <c r="A9" s="63" t="s">
        <v>257</v>
      </c>
      <c r="B9" s="64" t="s">
        <v>258</v>
      </c>
    </row>
    <row r="10" spans="1:2">
      <c r="A10" s="65"/>
      <c r="B10" s="66"/>
    </row>
    <row r="11" spans="1:2" ht="15">
      <c r="A11" s="67" t="s">
        <v>0</v>
      </c>
      <c r="B11" s="68">
        <f>SUM(B13:B72)</f>
        <v>18086</v>
      </c>
    </row>
    <row r="12" spans="1:2">
      <c r="A12" s="69"/>
      <c r="B12" s="70"/>
    </row>
    <row r="13" spans="1:2" ht="15">
      <c r="A13" s="5" t="s">
        <v>259</v>
      </c>
      <c r="B13" s="71">
        <v>2</v>
      </c>
    </row>
    <row r="14" spans="1:2" ht="15">
      <c r="A14" s="5" t="s">
        <v>260</v>
      </c>
      <c r="B14" s="71">
        <v>1</v>
      </c>
    </row>
    <row r="15" spans="1:2" ht="15">
      <c r="A15" s="5" t="s">
        <v>261</v>
      </c>
      <c r="B15" s="71">
        <v>1</v>
      </c>
    </row>
    <row r="16" spans="1:2" ht="15">
      <c r="A16" s="5" t="s">
        <v>262</v>
      </c>
      <c r="B16" s="71">
        <v>3</v>
      </c>
    </row>
    <row r="17" spans="1:2" ht="15">
      <c r="A17" s="5" t="s">
        <v>263</v>
      </c>
      <c r="B17" s="71">
        <v>1</v>
      </c>
    </row>
    <row r="18" spans="1:2" ht="15">
      <c r="A18" s="5" t="s">
        <v>264</v>
      </c>
      <c r="B18" s="71">
        <v>1</v>
      </c>
    </row>
    <row r="19" spans="1:2" ht="15">
      <c r="A19" s="5" t="s">
        <v>265</v>
      </c>
      <c r="B19" s="71">
        <v>1</v>
      </c>
    </row>
    <row r="20" spans="1:2" ht="15">
      <c r="A20" s="5" t="s">
        <v>266</v>
      </c>
      <c r="B20" s="71">
        <v>4</v>
      </c>
    </row>
    <row r="21" spans="1:2" ht="15">
      <c r="A21" s="5" t="s">
        <v>267</v>
      </c>
      <c r="B21" s="71">
        <v>8</v>
      </c>
    </row>
    <row r="22" spans="1:2" ht="15">
      <c r="A22" s="5" t="s">
        <v>268</v>
      </c>
      <c r="B22" s="71">
        <v>1</v>
      </c>
    </row>
    <row r="23" spans="1:2" ht="15">
      <c r="A23" s="5" t="s">
        <v>269</v>
      </c>
      <c r="B23" s="71">
        <v>7</v>
      </c>
    </row>
    <row r="24" spans="1:2" ht="15">
      <c r="A24" s="5" t="s">
        <v>270</v>
      </c>
      <c r="B24" s="71">
        <v>3</v>
      </c>
    </row>
    <row r="25" spans="1:2" ht="15">
      <c r="A25" s="5" t="s">
        <v>271</v>
      </c>
      <c r="B25" s="71">
        <v>2</v>
      </c>
    </row>
    <row r="26" spans="1:2" ht="15">
      <c r="A26" s="5" t="s">
        <v>272</v>
      </c>
      <c r="B26" s="71">
        <f>13+7425+11</f>
        <v>7449</v>
      </c>
    </row>
    <row r="27" spans="1:2" ht="15">
      <c r="A27" s="5" t="s">
        <v>273</v>
      </c>
      <c r="B27" s="71">
        <v>4</v>
      </c>
    </row>
    <row r="28" spans="1:2" ht="15">
      <c r="A28" s="5" t="s">
        <v>274</v>
      </c>
      <c r="B28" s="71">
        <v>1</v>
      </c>
    </row>
    <row r="29" spans="1:2" ht="15">
      <c r="A29" s="5" t="s">
        <v>275</v>
      </c>
      <c r="B29" s="71">
        <f>73+835+111</f>
        <v>1019</v>
      </c>
    </row>
    <row r="30" spans="1:2" ht="15">
      <c r="A30" s="5" t="s">
        <v>276</v>
      </c>
      <c r="B30" s="71">
        <v>1</v>
      </c>
    </row>
    <row r="31" spans="1:2" ht="15">
      <c r="A31" s="5" t="s">
        <v>277</v>
      </c>
      <c r="B31" s="71">
        <v>1</v>
      </c>
    </row>
    <row r="32" spans="1:2" ht="15">
      <c r="A32" s="5" t="s">
        <v>278</v>
      </c>
      <c r="B32" s="71">
        <f>130+1019+98</f>
        <v>1247</v>
      </c>
    </row>
    <row r="33" spans="1:2" ht="15">
      <c r="A33" s="5" t="s">
        <v>279</v>
      </c>
      <c r="B33" s="71">
        <v>3</v>
      </c>
    </row>
    <row r="34" spans="1:2" ht="15">
      <c r="A34" s="5" t="s">
        <v>280</v>
      </c>
      <c r="B34" s="71">
        <v>15</v>
      </c>
    </row>
    <row r="35" spans="1:2" ht="15">
      <c r="A35" s="5" t="s">
        <v>281</v>
      </c>
      <c r="B35" s="71">
        <v>3</v>
      </c>
    </row>
    <row r="36" spans="1:2" ht="15">
      <c r="A36" s="5" t="s">
        <v>282</v>
      </c>
      <c r="B36" s="71">
        <v>39</v>
      </c>
    </row>
    <row r="37" spans="1:2" ht="15">
      <c r="A37" s="5" t="s">
        <v>283</v>
      </c>
      <c r="B37" s="71">
        <v>8</v>
      </c>
    </row>
    <row r="38" spans="1:2" ht="15">
      <c r="A38" s="5" t="s">
        <v>284</v>
      </c>
      <c r="B38" s="71">
        <v>2</v>
      </c>
    </row>
    <row r="39" spans="1:2" ht="15">
      <c r="A39" s="5" t="s">
        <v>285</v>
      </c>
      <c r="B39" s="71">
        <v>54</v>
      </c>
    </row>
    <row r="40" spans="1:2" ht="15">
      <c r="A40" s="5" t="s">
        <v>286</v>
      </c>
      <c r="B40" s="71">
        <v>28</v>
      </c>
    </row>
    <row r="41" spans="1:2" ht="15">
      <c r="A41" s="5" t="s">
        <v>287</v>
      </c>
      <c r="B41" s="71">
        <f>26+163</f>
        <v>189</v>
      </c>
    </row>
    <row r="42" spans="1:2" ht="15">
      <c r="A42" s="5" t="s">
        <v>288</v>
      </c>
      <c r="B42" s="71">
        <v>5</v>
      </c>
    </row>
    <row r="43" spans="1:2" ht="15">
      <c r="A43" s="5" t="s">
        <v>289</v>
      </c>
      <c r="B43" s="71">
        <v>6</v>
      </c>
    </row>
    <row r="44" spans="1:2" ht="15">
      <c r="A44" s="5" t="s">
        <v>290</v>
      </c>
      <c r="B44" s="71">
        <v>6</v>
      </c>
    </row>
    <row r="45" spans="1:2" ht="15">
      <c r="A45" s="5" t="s">
        <v>291</v>
      </c>
      <c r="B45" s="71">
        <v>10</v>
      </c>
    </row>
    <row r="46" spans="1:2" ht="15">
      <c r="A46" s="5" t="s">
        <v>292</v>
      </c>
      <c r="B46" s="71">
        <v>1</v>
      </c>
    </row>
    <row r="47" spans="1:2" ht="15">
      <c r="A47" s="5" t="s">
        <v>293</v>
      </c>
      <c r="B47" s="71">
        <v>2</v>
      </c>
    </row>
    <row r="48" spans="1:2" ht="15">
      <c r="A48" s="5" t="s">
        <v>294</v>
      </c>
      <c r="B48" s="71">
        <v>10</v>
      </c>
    </row>
    <row r="49" spans="1:2" ht="15">
      <c r="A49" s="5" t="s">
        <v>295</v>
      </c>
      <c r="B49" s="71">
        <v>1</v>
      </c>
    </row>
    <row r="50" spans="1:2" ht="15">
      <c r="A50" s="5" t="s">
        <v>296</v>
      </c>
      <c r="B50" s="71">
        <f>348+3129+2277</f>
        <v>5754</v>
      </c>
    </row>
    <row r="51" spans="1:2" ht="15">
      <c r="A51" s="5" t="s">
        <v>297</v>
      </c>
      <c r="B51" s="71">
        <v>17</v>
      </c>
    </row>
    <row r="52" spans="1:2" ht="15">
      <c r="A52" s="5" t="s">
        <v>298</v>
      </c>
      <c r="B52" s="71">
        <v>1</v>
      </c>
    </row>
    <row r="53" spans="1:2" ht="15">
      <c r="A53" s="5" t="s">
        <v>299</v>
      </c>
      <c r="B53" s="71">
        <v>14</v>
      </c>
    </row>
    <row r="54" spans="1:2" ht="15">
      <c r="A54" s="5" t="s">
        <v>300</v>
      </c>
      <c r="B54" s="71">
        <v>68</v>
      </c>
    </row>
    <row r="55" spans="1:2" ht="15">
      <c r="A55" s="5" t="s">
        <v>301</v>
      </c>
      <c r="B55" s="71">
        <v>1</v>
      </c>
    </row>
    <row r="56" spans="1:2" ht="15">
      <c r="A56" s="5" t="s">
        <v>302</v>
      </c>
      <c r="B56" s="71">
        <v>3</v>
      </c>
    </row>
    <row r="57" spans="1:2" ht="15">
      <c r="A57" s="5" t="s">
        <v>303</v>
      </c>
      <c r="B57" s="71">
        <v>13</v>
      </c>
    </row>
    <row r="58" spans="1:2" ht="15">
      <c r="A58" s="5" t="s">
        <v>304</v>
      </c>
      <c r="B58" s="71">
        <v>1</v>
      </c>
    </row>
    <row r="59" spans="1:2" ht="15">
      <c r="A59" s="5" t="s">
        <v>305</v>
      </c>
      <c r="B59" s="71">
        <v>1</v>
      </c>
    </row>
    <row r="60" spans="1:2" ht="15">
      <c r="A60" s="5" t="s">
        <v>306</v>
      </c>
      <c r="B60" s="71">
        <v>2</v>
      </c>
    </row>
    <row r="61" spans="1:2" ht="15">
      <c r="A61" s="5" t="s">
        <v>307</v>
      </c>
      <c r="B61" s="71">
        <v>1</v>
      </c>
    </row>
    <row r="62" spans="1:2" ht="15">
      <c r="A62" s="5" t="s">
        <v>308</v>
      </c>
      <c r="B62" s="71">
        <v>8</v>
      </c>
    </row>
    <row r="63" spans="1:2" ht="15">
      <c r="A63" s="5" t="s">
        <v>309</v>
      </c>
      <c r="B63" s="71">
        <v>12</v>
      </c>
    </row>
    <row r="64" spans="1:2" ht="15">
      <c r="A64" s="5" t="s">
        <v>310</v>
      </c>
      <c r="B64" s="71">
        <v>1</v>
      </c>
    </row>
    <row r="65" spans="1:2" ht="15">
      <c r="A65" s="5" t="s">
        <v>311</v>
      </c>
      <c r="B65" s="71">
        <v>1</v>
      </c>
    </row>
    <row r="66" spans="1:2" ht="15">
      <c r="A66" s="5" t="s">
        <v>312</v>
      </c>
      <c r="B66" s="71">
        <v>1</v>
      </c>
    </row>
    <row r="67" spans="1:2" ht="15">
      <c r="A67" s="5" t="s">
        <v>313</v>
      </c>
      <c r="B67" s="71">
        <v>2</v>
      </c>
    </row>
    <row r="68" spans="1:2" ht="15">
      <c r="A68" s="5" t="s">
        <v>314</v>
      </c>
      <c r="B68" s="71">
        <v>2</v>
      </c>
    </row>
    <row r="69" spans="1:2" ht="15">
      <c r="A69" s="5" t="s">
        <v>315</v>
      </c>
      <c r="B69" s="71">
        <v>21</v>
      </c>
    </row>
    <row r="70" spans="1:2" ht="15">
      <c r="A70" s="5" t="s">
        <v>316</v>
      </c>
      <c r="B70" s="71">
        <v>1</v>
      </c>
    </row>
    <row r="71" spans="1:2" ht="15">
      <c r="A71" s="5" t="s">
        <v>317</v>
      </c>
      <c r="B71" s="71">
        <v>4</v>
      </c>
    </row>
    <row r="72" spans="1:2" ht="17.25" customHeight="1">
      <c r="A72" s="5" t="s">
        <v>318</v>
      </c>
      <c r="B72" s="71">
        <f>286+1197+535</f>
        <v>2018</v>
      </c>
    </row>
    <row r="73" spans="1:2" ht="15">
      <c r="A73" s="6"/>
      <c r="B73" s="72"/>
    </row>
    <row r="74" spans="1:2" ht="15.75" customHeight="1">
      <c r="A74" s="2" t="s">
        <v>16</v>
      </c>
      <c r="B74" s="2"/>
    </row>
    <row r="75" spans="1:2" ht="38.25" customHeight="1">
      <c r="A75" s="150" t="s">
        <v>319</v>
      </c>
      <c r="B75" s="150"/>
    </row>
    <row r="76" spans="1:2">
      <c r="A76" s="73"/>
      <c r="B76" s="73"/>
    </row>
    <row r="77" spans="1:2">
      <c r="A77" s="73"/>
      <c r="B77" s="73"/>
    </row>
    <row r="78" spans="1:2">
      <c r="A78" s="73"/>
      <c r="B78" s="73"/>
    </row>
    <row r="79" spans="1:2">
      <c r="A79" s="73"/>
      <c r="B79" s="73"/>
    </row>
    <row r="80" spans="1:2">
      <c r="A80" s="73"/>
      <c r="B80" s="73"/>
    </row>
    <row r="81" spans="1:2">
      <c r="A81" s="73"/>
      <c r="B81" s="73"/>
    </row>
    <row r="82" spans="1:2">
      <c r="A82" s="73"/>
      <c r="B82" s="73"/>
    </row>
    <row r="83" spans="1:2">
      <c r="A83" s="73"/>
      <c r="B83" s="73"/>
    </row>
    <row r="84" spans="1:2">
      <c r="A84" s="73"/>
      <c r="B84" s="73"/>
    </row>
    <row r="85" spans="1:2">
      <c r="A85" s="73"/>
      <c r="B85" s="73"/>
    </row>
    <row r="86" spans="1:2">
      <c r="A86" s="73"/>
      <c r="B86" s="73"/>
    </row>
    <row r="87" spans="1:2">
      <c r="A87" s="73"/>
      <c r="B87" s="73"/>
    </row>
    <row r="88" spans="1:2">
      <c r="A88" s="73"/>
      <c r="B88" s="73"/>
    </row>
    <row r="89" spans="1:2">
      <c r="A89" s="73"/>
      <c r="B89" s="73"/>
    </row>
    <row r="90" spans="1:2">
      <c r="A90" s="73"/>
      <c r="B90" s="73"/>
    </row>
    <row r="91" spans="1:2">
      <c r="A91" s="73"/>
      <c r="B91" s="73"/>
    </row>
    <row r="92" spans="1:2">
      <c r="A92" s="73"/>
      <c r="B92" s="73"/>
    </row>
    <row r="93" spans="1:2">
      <c r="A93" s="73"/>
      <c r="B93" s="73"/>
    </row>
    <row r="94" spans="1:2">
      <c r="A94" s="73"/>
      <c r="B94" s="73"/>
    </row>
    <row r="95" spans="1:2">
      <c r="A95" s="73"/>
      <c r="B95" s="73"/>
    </row>
    <row r="96" spans="1:2">
      <c r="A96" s="73"/>
      <c r="B96" s="73"/>
    </row>
    <row r="97" spans="1:2">
      <c r="A97" s="73"/>
      <c r="B97" s="73"/>
    </row>
    <row r="98" spans="1:2">
      <c r="A98" s="73"/>
      <c r="B98" s="73"/>
    </row>
    <row r="99" spans="1:2">
      <c r="A99" s="73"/>
      <c r="B99" s="73"/>
    </row>
    <row r="100" spans="1:2">
      <c r="A100" s="73"/>
      <c r="B100" s="73"/>
    </row>
    <row r="101" spans="1:2">
      <c r="A101" s="73"/>
      <c r="B101" s="73"/>
    </row>
    <row r="102" spans="1:2">
      <c r="A102" s="73"/>
      <c r="B102" s="73"/>
    </row>
    <row r="103" spans="1:2">
      <c r="A103" s="73"/>
      <c r="B103" s="73"/>
    </row>
    <row r="104" spans="1:2">
      <c r="A104" s="73"/>
      <c r="B104" s="73"/>
    </row>
    <row r="105" spans="1:2">
      <c r="A105" s="73"/>
      <c r="B105" s="73"/>
    </row>
    <row r="106" spans="1:2">
      <c r="A106" s="73"/>
      <c r="B106" s="73"/>
    </row>
    <row r="107" spans="1:2">
      <c r="A107" s="73"/>
      <c r="B107" s="73"/>
    </row>
    <row r="108" spans="1:2">
      <c r="A108" s="73"/>
      <c r="B108" s="73"/>
    </row>
    <row r="109" spans="1:2">
      <c r="A109" s="73"/>
      <c r="B109" s="73"/>
    </row>
    <row r="110" spans="1:2">
      <c r="A110" s="73"/>
      <c r="B110" s="73"/>
    </row>
    <row r="111" spans="1:2">
      <c r="A111" s="73"/>
      <c r="B111" s="73"/>
    </row>
    <row r="112" spans="1:2">
      <c r="A112" s="73"/>
      <c r="B112" s="73"/>
    </row>
    <row r="113" spans="1:2">
      <c r="A113" s="73"/>
      <c r="B113" s="73"/>
    </row>
    <row r="114" spans="1:2">
      <c r="A114" s="73"/>
      <c r="B114" s="73"/>
    </row>
    <row r="115" spans="1:2">
      <c r="A115" s="73"/>
      <c r="B115" s="73"/>
    </row>
    <row r="116" spans="1:2">
      <c r="A116" s="73"/>
      <c r="B116" s="73"/>
    </row>
    <row r="117" spans="1:2">
      <c r="A117" s="73"/>
      <c r="B117" s="73"/>
    </row>
    <row r="118" spans="1:2">
      <c r="A118" s="73"/>
      <c r="B118" s="73"/>
    </row>
    <row r="119" spans="1:2">
      <c r="A119" s="73"/>
      <c r="B119" s="73"/>
    </row>
    <row r="120" spans="1:2">
      <c r="A120" s="73"/>
      <c r="B120" s="73"/>
    </row>
    <row r="121" spans="1:2">
      <c r="A121" s="73"/>
      <c r="B121" s="73"/>
    </row>
    <row r="122" spans="1:2">
      <c r="A122" s="73"/>
      <c r="B122" s="73"/>
    </row>
    <row r="123" spans="1:2">
      <c r="A123" s="73"/>
      <c r="B123" s="73"/>
    </row>
    <row r="124" spans="1:2">
      <c r="A124" s="73"/>
      <c r="B124" s="73"/>
    </row>
    <row r="125" spans="1:2">
      <c r="A125" s="73"/>
      <c r="B125" s="73"/>
    </row>
    <row r="126" spans="1:2">
      <c r="A126" s="73"/>
      <c r="B126" s="73"/>
    </row>
    <row r="127" spans="1:2">
      <c r="A127" s="73"/>
      <c r="B127" s="73"/>
    </row>
    <row r="128" spans="1:2">
      <c r="A128" s="73"/>
      <c r="B128" s="73"/>
    </row>
    <row r="129" spans="1:2">
      <c r="A129" s="73"/>
      <c r="B129" s="73"/>
    </row>
    <row r="130" spans="1:2">
      <c r="A130" s="73"/>
      <c r="B130" s="73"/>
    </row>
    <row r="131" spans="1:2">
      <c r="A131" s="73"/>
      <c r="B131" s="73"/>
    </row>
    <row r="132" spans="1:2">
      <c r="A132" s="73"/>
      <c r="B132" s="73"/>
    </row>
    <row r="133" spans="1:2">
      <c r="A133" s="73"/>
      <c r="B133" s="73"/>
    </row>
    <row r="134" spans="1:2">
      <c r="A134" s="73"/>
      <c r="B134" s="73"/>
    </row>
    <row r="135" spans="1:2">
      <c r="A135" s="73"/>
      <c r="B135" s="73"/>
    </row>
    <row r="136" spans="1:2">
      <c r="A136" s="73"/>
      <c r="B136" s="73"/>
    </row>
    <row r="137" spans="1:2">
      <c r="A137" s="73"/>
      <c r="B137" s="73"/>
    </row>
    <row r="138" spans="1:2">
      <c r="A138" s="73"/>
      <c r="B138" s="73"/>
    </row>
    <row r="139" spans="1:2">
      <c r="A139" s="73"/>
      <c r="B139" s="73"/>
    </row>
    <row r="140" spans="1:2">
      <c r="A140" s="73"/>
      <c r="B140" s="73"/>
    </row>
    <row r="141" spans="1:2">
      <c r="A141" s="73"/>
      <c r="B141" s="73"/>
    </row>
    <row r="142" spans="1:2">
      <c r="A142" s="73"/>
      <c r="B142" s="73"/>
    </row>
    <row r="143" spans="1:2">
      <c r="A143" s="73"/>
      <c r="B143" s="73"/>
    </row>
    <row r="144" spans="1:2">
      <c r="A144" s="73"/>
      <c r="B144" s="73"/>
    </row>
    <row r="145" spans="1:2">
      <c r="A145" s="73"/>
      <c r="B145" s="73"/>
    </row>
    <row r="146" spans="1:2">
      <c r="A146" s="73"/>
      <c r="B146" s="73"/>
    </row>
    <row r="147" spans="1:2">
      <c r="A147" s="73"/>
      <c r="B147" s="73"/>
    </row>
    <row r="148" spans="1:2">
      <c r="A148" s="73"/>
      <c r="B148" s="73"/>
    </row>
    <row r="149" spans="1:2">
      <c r="A149" s="73"/>
      <c r="B149" s="73"/>
    </row>
    <row r="150" spans="1:2">
      <c r="A150" s="73"/>
      <c r="B150" s="73"/>
    </row>
    <row r="151" spans="1:2">
      <c r="A151" s="73"/>
      <c r="B151" s="73"/>
    </row>
    <row r="152" spans="1:2">
      <c r="A152" s="73"/>
      <c r="B152" s="73"/>
    </row>
    <row r="153" spans="1:2">
      <c r="A153" s="73"/>
      <c r="B153" s="73"/>
    </row>
    <row r="154" spans="1:2">
      <c r="A154" s="73"/>
      <c r="B154" s="73"/>
    </row>
    <row r="155" spans="1:2">
      <c r="A155" s="73"/>
      <c r="B155" s="73"/>
    </row>
    <row r="156" spans="1:2">
      <c r="A156" s="73"/>
      <c r="B156" s="73"/>
    </row>
    <row r="157" spans="1:2">
      <c r="A157" s="73"/>
      <c r="B157" s="73"/>
    </row>
    <row r="158" spans="1:2">
      <c r="A158" s="73"/>
      <c r="B158" s="73"/>
    </row>
    <row r="159" spans="1:2">
      <c r="A159" s="73"/>
      <c r="B159" s="73"/>
    </row>
    <row r="160" spans="1:2">
      <c r="A160" s="73"/>
      <c r="B160" s="73"/>
    </row>
    <row r="161" spans="1:2">
      <c r="A161" s="73"/>
      <c r="B161" s="73"/>
    </row>
    <row r="162" spans="1:2">
      <c r="A162" s="73"/>
      <c r="B162" s="73"/>
    </row>
    <row r="163" spans="1:2">
      <c r="A163" s="73"/>
      <c r="B163" s="73"/>
    </row>
    <row r="164" spans="1:2">
      <c r="A164" s="73"/>
      <c r="B164" s="73"/>
    </row>
    <row r="165" spans="1:2">
      <c r="A165" s="73"/>
      <c r="B165" s="73"/>
    </row>
    <row r="166" spans="1:2">
      <c r="A166" s="73"/>
      <c r="B166" s="73"/>
    </row>
    <row r="167" spans="1:2">
      <c r="A167" s="73"/>
      <c r="B167" s="73"/>
    </row>
    <row r="168" spans="1:2">
      <c r="A168" s="73"/>
      <c r="B168" s="73"/>
    </row>
    <row r="169" spans="1:2">
      <c r="A169" s="73"/>
      <c r="B169" s="73"/>
    </row>
    <row r="170" spans="1:2">
      <c r="A170" s="73"/>
      <c r="B170" s="73"/>
    </row>
    <row r="171" spans="1:2">
      <c r="A171" s="73"/>
      <c r="B171" s="73"/>
    </row>
    <row r="172" spans="1:2">
      <c r="A172" s="73"/>
      <c r="B172" s="73"/>
    </row>
    <row r="173" spans="1:2">
      <c r="A173" s="73"/>
      <c r="B173" s="73"/>
    </row>
    <row r="174" spans="1:2">
      <c r="A174" s="73"/>
      <c r="B174" s="73"/>
    </row>
    <row r="175" spans="1:2">
      <c r="A175" s="73"/>
      <c r="B175" s="73"/>
    </row>
    <row r="176" spans="1:2">
      <c r="A176" s="73"/>
      <c r="B176" s="73"/>
    </row>
    <row r="177" spans="1:2">
      <c r="A177" s="73"/>
      <c r="B177" s="73"/>
    </row>
    <row r="178" spans="1:2">
      <c r="A178" s="73"/>
      <c r="B178" s="73"/>
    </row>
    <row r="179" spans="1:2">
      <c r="A179" s="73"/>
      <c r="B179" s="73"/>
    </row>
    <row r="180" spans="1:2">
      <c r="A180" s="73"/>
      <c r="B180" s="73"/>
    </row>
    <row r="181" spans="1:2">
      <c r="A181" s="73"/>
      <c r="B181" s="73"/>
    </row>
    <row r="182" spans="1:2">
      <c r="A182" s="73"/>
      <c r="B182" s="73"/>
    </row>
    <row r="183" spans="1:2">
      <c r="A183" s="73"/>
      <c r="B183" s="73"/>
    </row>
    <row r="184" spans="1:2">
      <c r="A184" s="73"/>
      <c r="B184" s="73"/>
    </row>
    <row r="185" spans="1:2">
      <c r="A185" s="73"/>
      <c r="B185" s="73"/>
    </row>
    <row r="186" spans="1:2">
      <c r="A186" s="73"/>
      <c r="B186" s="73"/>
    </row>
    <row r="187" spans="1:2">
      <c r="A187" s="73"/>
      <c r="B187" s="73"/>
    </row>
    <row r="188" spans="1:2">
      <c r="A188" s="73"/>
      <c r="B188" s="73"/>
    </row>
    <row r="189" spans="1:2">
      <c r="A189" s="73"/>
      <c r="B189" s="73"/>
    </row>
    <row r="190" spans="1:2">
      <c r="A190" s="73"/>
      <c r="B190" s="73"/>
    </row>
    <row r="191" spans="1:2">
      <c r="A191" s="73"/>
      <c r="B191" s="73"/>
    </row>
    <row r="192" spans="1:2">
      <c r="A192" s="73"/>
      <c r="B192" s="73"/>
    </row>
    <row r="193" spans="1:2">
      <c r="A193" s="73"/>
      <c r="B193" s="73"/>
    </row>
    <row r="194" spans="1:2">
      <c r="A194" s="73"/>
      <c r="B194" s="73"/>
    </row>
    <row r="195" spans="1:2">
      <c r="A195" s="73"/>
      <c r="B195" s="73"/>
    </row>
    <row r="196" spans="1:2">
      <c r="A196" s="73"/>
      <c r="B196" s="73"/>
    </row>
    <row r="197" spans="1:2">
      <c r="A197" s="73"/>
      <c r="B197" s="73"/>
    </row>
    <row r="198" spans="1:2">
      <c r="A198" s="73"/>
      <c r="B198" s="73"/>
    </row>
    <row r="199" spans="1:2">
      <c r="A199" s="73"/>
      <c r="B199" s="73"/>
    </row>
    <row r="200" spans="1:2">
      <c r="A200" s="73"/>
      <c r="B200" s="73"/>
    </row>
    <row r="201" spans="1:2">
      <c r="A201" s="73"/>
      <c r="B201" s="73"/>
    </row>
    <row r="202" spans="1:2">
      <c r="A202" s="73"/>
      <c r="B202" s="73"/>
    </row>
    <row r="203" spans="1:2">
      <c r="A203" s="73"/>
      <c r="B203" s="73"/>
    </row>
    <row r="204" spans="1:2">
      <c r="A204" s="73"/>
      <c r="B204" s="73"/>
    </row>
    <row r="205" spans="1:2">
      <c r="A205" s="73"/>
      <c r="B205" s="73"/>
    </row>
    <row r="206" spans="1:2">
      <c r="A206" s="73"/>
      <c r="B206" s="73"/>
    </row>
    <row r="207" spans="1:2">
      <c r="A207" s="73"/>
      <c r="B207" s="73"/>
    </row>
    <row r="208" spans="1:2">
      <c r="A208" s="73"/>
      <c r="B208" s="73"/>
    </row>
    <row r="209" spans="1:2">
      <c r="A209" s="73"/>
      <c r="B209" s="73"/>
    </row>
    <row r="210" spans="1:2">
      <c r="A210" s="73"/>
      <c r="B210" s="73"/>
    </row>
    <row r="211" spans="1:2">
      <c r="A211" s="73"/>
      <c r="B211" s="73"/>
    </row>
    <row r="212" spans="1:2">
      <c r="A212" s="73"/>
      <c r="B212" s="73"/>
    </row>
    <row r="213" spans="1:2">
      <c r="A213" s="73"/>
      <c r="B213" s="73"/>
    </row>
    <row r="214" spans="1:2">
      <c r="A214" s="73"/>
      <c r="B214" s="73"/>
    </row>
    <row r="215" spans="1:2">
      <c r="A215" s="73"/>
      <c r="B215" s="73"/>
    </row>
    <row r="216" spans="1:2">
      <c r="A216" s="73"/>
      <c r="B216" s="73"/>
    </row>
    <row r="217" spans="1:2">
      <c r="A217" s="73"/>
      <c r="B217" s="73"/>
    </row>
    <row r="218" spans="1:2">
      <c r="A218" s="73"/>
      <c r="B218" s="73"/>
    </row>
    <row r="219" spans="1:2">
      <c r="A219" s="73"/>
      <c r="B219" s="73"/>
    </row>
    <row r="220" spans="1:2">
      <c r="A220" s="73"/>
      <c r="B220" s="73"/>
    </row>
    <row r="221" spans="1:2">
      <c r="A221" s="73"/>
      <c r="B221" s="73"/>
    </row>
  </sheetData>
  <mergeCells count="8">
    <mergeCell ref="A7:B7"/>
    <mergeCell ref="A75:B75"/>
    <mergeCell ref="A1:B1"/>
    <mergeCell ref="A2:B2"/>
    <mergeCell ref="A3:B3"/>
    <mergeCell ref="A4:B4"/>
    <mergeCell ref="A5:B5"/>
    <mergeCell ref="A6:B6"/>
  </mergeCells>
  <printOptions horizontalCentered="1" verticalCentered="1"/>
  <pageMargins left="0" right="0" top="0" bottom="0" header="0" footer="0"/>
  <pageSetup orientation="portrait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workbookViewId="0">
      <selection activeCell="A29" sqref="A1:H29"/>
    </sheetView>
  </sheetViews>
  <sheetFormatPr baseColWidth="10" defaultRowHeight="15"/>
  <cols>
    <col min="1" max="1" width="17.5703125" customWidth="1"/>
  </cols>
  <sheetData>
    <row r="1" spans="1:8">
      <c r="A1" s="157" t="s">
        <v>18</v>
      </c>
      <c r="B1" s="157"/>
      <c r="C1" s="157"/>
      <c r="D1" s="157"/>
      <c r="E1" s="157"/>
      <c r="F1" s="157"/>
      <c r="G1" s="157"/>
      <c r="H1" s="157"/>
    </row>
    <row r="2" spans="1:8">
      <c r="A2" s="157" t="s">
        <v>354</v>
      </c>
      <c r="B2" s="157"/>
      <c r="C2" s="157"/>
      <c r="D2" s="157"/>
      <c r="E2" s="157"/>
      <c r="F2" s="157"/>
      <c r="G2" s="157"/>
      <c r="H2" s="157"/>
    </row>
    <row r="3" spans="1:8">
      <c r="A3" s="157" t="s">
        <v>355</v>
      </c>
      <c r="B3" s="157"/>
      <c r="C3" s="157"/>
      <c r="D3" s="157"/>
      <c r="E3" s="157"/>
      <c r="F3" s="157"/>
      <c r="G3" s="157"/>
      <c r="H3" s="157"/>
    </row>
    <row r="4" spans="1:8">
      <c r="A4" s="157" t="s">
        <v>20</v>
      </c>
      <c r="B4" s="157"/>
      <c r="C4" s="157"/>
      <c r="D4" s="157"/>
      <c r="E4" s="157"/>
      <c r="F4" s="157"/>
      <c r="G4" s="157"/>
      <c r="H4" s="157"/>
    </row>
    <row r="5" spans="1:8">
      <c r="A5" s="157" t="s">
        <v>342</v>
      </c>
      <c r="B5" s="157"/>
      <c r="C5" s="157"/>
      <c r="D5" s="157"/>
      <c r="E5" s="157"/>
      <c r="F5" s="157"/>
      <c r="G5" s="157"/>
      <c r="H5" s="157"/>
    </row>
    <row r="7" spans="1:8">
      <c r="A7" s="154" t="s">
        <v>356</v>
      </c>
      <c r="B7" s="154" t="s">
        <v>352</v>
      </c>
      <c r="C7" s="154"/>
      <c r="D7" s="154"/>
      <c r="E7" s="154"/>
      <c r="F7" s="154"/>
      <c r="G7" s="154"/>
      <c r="H7" s="154" t="s">
        <v>0</v>
      </c>
    </row>
    <row r="8" spans="1:8">
      <c r="A8" s="154"/>
      <c r="B8" s="156" t="s">
        <v>321</v>
      </c>
      <c r="C8" s="156"/>
      <c r="D8" s="156"/>
      <c r="E8" s="156" t="s">
        <v>320</v>
      </c>
      <c r="F8" s="156"/>
      <c r="G8" s="156"/>
      <c r="H8" s="154"/>
    </row>
    <row r="9" spans="1:8">
      <c r="A9" s="155"/>
      <c r="B9" s="87" t="s">
        <v>332</v>
      </c>
      <c r="C9" s="87" t="s">
        <v>333</v>
      </c>
      <c r="D9" s="87" t="s">
        <v>0</v>
      </c>
      <c r="E9" s="87" t="s">
        <v>332</v>
      </c>
      <c r="F9" s="87" t="s">
        <v>333</v>
      </c>
      <c r="G9" s="87" t="s">
        <v>0</v>
      </c>
      <c r="H9" s="155"/>
    </row>
    <row r="10" spans="1:8" s="55" customFormat="1">
      <c r="A10" s="109"/>
      <c r="B10" s="111"/>
      <c r="C10" s="106"/>
      <c r="D10" s="106"/>
      <c r="E10" s="106"/>
      <c r="F10" s="106"/>
      <c r="G10" s="106"/>
      <c r="H10" s="112"/>
    </row>
    <row r="11" spans="1:8" s="55" customFormat="1">
      <c r="A11" s="110" t="s">
        <v>0</v>
      </c>
      <c r="B11" s="113">
        <v>1081</v>
      </c>
      <c r="C11" s="107">
        <v>253</v>
      </c>
      <c r="D11" s="107">
        <v>1334</v>
      </c>
      <c r="E11" s="107">
        <v>1449</v>
      </c>
      <c r="F11" s="107">
        <v>291</v>
      </c>
      <c r="G11" s="107">
        <v>1740</v>
      </c>
      <c r="H11" s="114">
        <v>3074</v>
      </c>
    </row>
    <row r="12" spans="1:8" s="55" customFormat="1">
      <c r="A12" s="110"/>
      <c r="B12" s="115"/>
      <c r="C12" s="108"/>
      <c r="D12" s="108"/>
      <c r="E12" s="108"/>
      <c r="F12" s="108"/>
      <c r="G12" s="108"/>
      <c r="H12" s="116"/>
    </row>
    <row r="13" spans="1:8">
      <c r="A13" s="56" t="s">
        <v>246</v>
      </c>
      <c r="B13" s="117">
        <v>1</v>
      </c>
      <c r="C13" s="46">
        <v>2</v>
      </c>
      <c r="D13" s="46">
        <v>3</v>
      </c>
      <c r="E13" s="46">
        <v>0</v>
      </c>
      <c r="F13" s="46">
        <v>0</v>
      </c>
      <c r="G13" s="46">
        <v>0</v>
      </c>
      <c r="H13" s="118">
        <v>3</v>
      </c>
    </row>
    <row r="14" spans="1:8">
      <c r="A14" s="56" t="s">
        <v>28</v>
      </c>
      <c r="B14" s="117">
        <v>6</v>
      </c>
      <c r="C14" s="46">
        <v>1</v>
      </c>
      <c r="D14" s="46">
        <v>7</v>
      </c>
      <c r="E14" s="46">
        <v>3</v>
      </c>
      <c r="F14" s="46">
        <v>1</v>
      </c>
      <c r="G14" s="46">
        <v>4</v>
      </c>
      <c r="H14" s="118">
        <v>11</v>
      </c>
    </row>
    <row r="15" spans="1:8">
      <c r="A15" s="56" t="s">
        <v>30</v>
      </c>
      <c r="B15" s="117">
        <v>49</v>
      </c>
      <c r="C15" s="46">
        <v>5</v>
      </c>
      <c r="D15" s="46">
        <v>54</v>
      </c>
      <c r="E15" s="46">
        <v>51</v>
      </c>
      <c r="F15" s="46">
        <v>6</v>
      </c>
      <c r="G15" s="46">
        <v>57</v>
      </c>
      <c r="H15" s="118">
        <v>111</v>
      </c>
    </row>
    <row r="16" spans="1:8">
      <c r="A16" s="56" t="s">
        <v>31</v>
      </c>
      <c r="B16" s="117">
        <v>0</v>
      </c>
      <c r="C16" s="46">
        <v>1</v>
      </c>
      <c r="D16" s="46">
        <v>1</v>
      </c>
      <c r="E16" s="46">
        <v>0</v>
      </c>
      <c r="F16" s="46">
        <v>0</v>
      </c>
      <c r="G16" s="46">
        <v>0</v>
      </c>
      <c r="H16" s="118">
        <v>1</v>
      </c>
    </row>
    <row r="17" spans="1:8">
      <c r="A17" s="56" t="s">
        <v>63</v>
      </c>
      <c r="B17" s="117">
        <v>0</v>
      </c>
      <c r="C17" s="46">
        <v>0</v>
      </c>
      <c r="D17" s="46">
        <v>0</v>
      </c>
      <c r="E17" s="46">
        <v>1</v>
      </c>
      <c r="F17" s="46">
        <v>0</v>
      </c>
      <c r="G17" s="46">
        <v>1</v>
      </c>
      <c r="H17" s="118">
        <v>1</v>
      </c>
    </row>
    <row r="18" spans="1:8">
      <c r="A18" s="56" t="s">
        <v>32</v>
      </c>
      <c r="B18" s="117">
        <v>39</v>
      </c>
      <c r="C18" s="46">
        <v>11</v>
      </c>
      <c r="D18" s="46">
        <v>50</v>
      </c>
      <c r="E18" s="46">
        <v>33</v>
      </c>
      <c r="F18" s="46">
        <v>15</v>
      </c>
      <c r="G18" s="46">
        <v>48</v>
      </c>
      <c r="H18" s="118">
        <v>98</v>
      </c>
    </row>
    <row r="19" spans="1:8">
      <c r="A19" s="56" t="s">
        <v>26</v>
      </c>
      <c r="B19" s="117">
        <v>2</v>
      </c>
      <c r="C19" s="46">
        <v>1</v>
      </c>
      <c r="D19" s="46">
        <v>3</v>
      </c>
      <c r="E19" s="46">
        <v>0</v>
      </c>
      <c r="F19" s="46">
        <v>2</v>
      </c>
      <c r="G19" s="46">
        <v>2</v>
      </c>
      <c r="H19" s="118">
        <v>5</v>
      </c>
    </row>
    <row r="20" spans="1:8">
      <c r="A20" s="56" t="s">
        <v>121</v>
      </c>
      <c r="B20" s="117">
        <v>0</v>
      </c>
      <c r="C20" s="46">
        <v>0</v>
      </c>
      <c r="D20" s="46">
        <v>0</v>
      </c>
      <c r="E20" s="46">
        <v>1</v>
      </c>
      <c r="F20" s="46">
        <v>0</v>
      </c>
      <c r="G20" s="46">
        <v>1</v>
      </c>
      <c r="H20" s="118">
        <v>1</v>
      </c>
    </row>
    <row r="21" spans="1:8">
      <c r="A21" s="56" t="s">
        <v>123</v>
      </c>
      <c r="B21" s="117">
        <v>0</v>
      </c>
      <c r="C21" s="46">
        <v>0</v>
      </c>
      <c r="D21" s="46">
        <v>0</v>
      </c>
      <c r="E21" s="46">
        <v>1</v>
      </c>
      <c r="F21" s="46">
        <v>0</v>
      </c>
      <c r="G21" s="46">
        <v>1</v>
      </c>
      <c r="H21" s="118">
        <v>1</v>
      </c>
    </row>
    <row r="22" spans="1:8">
      <c r="A22" s="56" t="s">
        <v>124</v>
      </c>
      <c r="B22" s="117">
        <v>9</v>
      </c>
      <c r="C22" s="46">
        <v>4</v>
      </c>
      <c r="D22" s="46">
        <v>13</v>
      </c>
      <c r="E22" s="46">
        <v>9</v>
      </c>
      <c r="F22" s="46">
        <v>4</v>
      </c>
      <c r="G22" s="46">
        <v>13</v>
      </c>
      <c r="H22" s="118">
        <v>26</v>
      </c>
    </row>
    <row r="23" spans="1:8">
      <c r="A23" s="56" t="s">
        <v>25</v>
      </c>
      <c r="B23" s="117">
        <v>764</v>
      </c>
      <c r="C23" s="46">
        <v>180</v>
      </c>
      <c r="D23" s="46">
        <v>944</v>
      </c>
      <c r="E23" s="46">
        <v>1113</v>
      </c>
      <c r="F23" s="46">
        <v>220</v>
      </c>
      <c r="G23" s="46">
        <v>1333</v>
      </c>
      <c r="H23" s="118">
        <v>2277</v>
      </c>
    </row>
    <row r="24" spans="1:8">
      <c r="A24" s="56" t="s">
        <v>29</v>
      </c>
      <c r="B24" s="117">
        <v>0</v>
      </c>
      <c r="C24" s="46">
        <v>0</v>
      </c>
      <c r="D24" s="46">
        <v>0</v>
      </c>
      <c r="E24" s="46">
        <v>0</v>
      </c>
      <c r="F24" s="46">
        <v>1</v>
      </c>
      <c r="G24" s="46">
        <v>1</v>
      </c>
      <c r="H24" s="118">
        <v>1</v>
      </c>
    </row>
    <row r="25" spans="1:8">
      <c r="A25" s="56" t="s">
        <v>177</v>
      </c>
      <c r="B25" s="117">
        <v>0</v>
      </c>
      <c r="C25" s="46">
        <v>0</v>
      </c>
      <c r="D25" s="46">
        <v>0</v>
      </c>
      <c r="E25" s="46">
        <v>3</v>
      </c>
      <c r="F25" s="46">
        <v>0</v>
      </c>
      <c r="G25" s="46">
        <v>3</v>
      </c>
      <c r="H25" s="118">
        <v>3</v>
      </c>
    </row>
    <row r="26" spans="1:8">
      <c r="A26" s="56" t="s">
        <v>27</v>
      </c>
      <c r="B26" s="117">
        <v>211</v>
      </c>
      <c r="C26" s="46">
        <v>48</v>
      </c>
      <c r="D26" s="46">
        <v>259</v>
      </c>
      <c r="E26" s="46">
        <v>234</v>
      </c>
      <c r="F26" s="46">
        <v>42</v>
      </c>
      <c r="G26" s="46">
        <v>276</v>
      </c>
      <c r="H26" s="118">
        <v>535</v>
      </c>
    </row>
    <row r="27" spans="1:8">
      <c r="A27" s="60"/>
      <c r="B27" s="119">
        <v>0</v>
      </c>
      <c r="C27" s="120">
        <v>0</v>
      </c>
      <c r="D27" s="120">
        <v>0</v>
      </c>
      <c r="E27" s="120">
        <v>0</v>
      </c>
      <c r="F27" s="120">
        <v>0</v>
      </c>
      <c r="G27" s="120">
        <v>0</v>
      </c>
      <c r="H27" s="121"/>
    </row>
    <row r="28" spans="1:8">
      <c r="A28" s="105" t="s">
        <v>16</v>
      </c>
      <c r="B28" s="33"/>
      <c r="C28" s="33"/>
      <c r="D28" s="33"/>
      <c r="E28" s="33"/>
      <c r="F28" s="33"/>
      <c r="G28" s="33"/>
      <c r="H28" s="33"/>
    </row>
    <row r="29" spans="1:8">
      <c r="A29" s="152" t="s">
        <v>357</v>
      </c>
      <c r="B29" s="153"/>
      <c r="C29" s="153"/>
      <c r="D29" s="153"/>
      <c r="E29" s="153"/>
      <c r="F29" s="153"/>
      <c r="G29" s="153"/>
      <c r="H29" s="153"/>
    </row>
  </sheetData>
  <mergeCells count="11">
    <mergeCell ref="A1:H1"/>
    <mergeCell ref="A2:H2"/>
    <mergeCell ref="A3:H3"/>
    <mergeCell ref="A4:H4"/>
    <mergeCell ref="A5:H5"/>
    <mergeCell ref="A29:H29"/>
    <mergeCell ref="A7:A9"/>
    <mergeCell ref="B7:G7"/>
    <mergeCell ref="H7:H9"/>
    <mergeCell ref="B8:D8"/>
    <mergeCell ref="E8:G8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6"/>
  <sheetViews>
    <sheetView topLeftCell="A50" workbookViewId="0">
      <selection sqref="A1:H9"/>
    </sheetView>
  </sheetViews>
  <sheetFormatPr baseColWidth="10" defaultRowHeight="15"/>
  <cols>
    <col min="1" max="1" width="20.5703125" customWidth="1"/>
  </cols>
  <sheetData>
    <row r="1" spans="1:8">
      <c r="A1" s="157" t="s">
        <v>18</v>
      </c>
      <c r="B1" s="157"/>
      <c r="C1" s="157"/>
      <c r="D1" s="157"/>
      <c r="E1" s="157"/>
      <c r="F1" s="157"/>
      <c r="G1" s="157"/>
      <c r="H1" s="157"/>
    </row>
    <row r="2" spans="1:8">
      <c r="A2" s="157" t="s">
        <v>405</v>
      </c>
      <c r="B2" s="157"/>
      <c r="C2" s="157"/>
      <c r="D2" s="157"/>
      <c r="E2" s="157"/>
      <c r="F2" s="157"/>
      <c r="G2" s="157"/>
      <c r="H2" s="157"/>
    </row>
    <row r="3" spans="1:8">
      <c r="A3" s="157" t="s">
        <v>355</v>
      </c>
      <c r="B3" s="157"/>
      <c r="C3" s="157"/>
      <c r="D3" s="157"/>
      <c r="E3" s="157"/>
      <c r="F3" s="157"/>
      <c r="G3" s="157"/>
      <c r="H3" s="157"/>
    </row>
    <row r="4" spans="1:8">
      <c r="A4" s="157" t="s">
        <v>20</v>
      </c>
      <c r="B4" s="157"/>
      <c r="C4" s="157"/>
      <c r="D4" s="157"/>
      <c r="E4" s="157"/>
      <c r="F4" s="157"/>
      <c r="G4" s="157"/>
      <c r="H4" s="157"/>
    </row>
    <row r="5" spans="1:8">
      <c r="A5" s="157" t="s">
        <v>342</v>
      </c>
      <c r="B5" s="157"/>
      <c r="C5" s="157"/>
      <c r="D5" s="157"/>
      <c r="E5" s="157"/>
      <c r="F5" s="157"/>
      <c r="G5" s="157"/>
      <c r="H5" s="157"/>
    </row>
    <row r="7" spans="1:8">
      <c r="A7" s="154" t="s">
        <v>356</v>
      </c>
      <c r="B7" s="154" t="s">
        <v>352</v>
      </c>
      <c r="C7" s="154"/>
      <c r="D7" s="154"/>
      <c r="E7" s="154"/>
      <c r="F7" s="154"/>
      <c r="G7" s="154"/>
      <c r="H7" s="154" t="s">
        <v>0</v>
      </c>
    </row>
    <row r="8" spans="1:8">
      <c r="A8" s="154"/>
      <c r="B8" s="156" t="s">
        <v>321</v>
      </c>
      <c r="C8" s="156"/>
      <c r="D8" s="156"/>
      <c r="E8" s="156" t="s">
        <v>320</v>
      </c>
      <c r="F8" s="156"/>
      <c r="G8" s="156"/>
      <c r="H8" s="154"/>
    </row>
    <row r="9" spans="1:8">
      <c r="A9" s="155"/>
      <c r="B9" s="87" t="s">
        <v>332</v>
      </c>
      <c r="C9" s="87" t="s">
        <v>333</v>
      </c>
      <c r="D9" s="87" t="s">
        <v>0</v>
      </c>
      <c r="E9" s="87" t="s">
        <v>332</v>
      </c>
      <c r="F9" s="87" t="s">
        <v>333</v>
      </c>
      <c r="G9" s="87" t="s">
        <v>0</v>
      </c>
      <c r="H9" s="155"/>
    </row>
    <row r="10" spans="1:8" s="55" customFormat="1">
      <c r="A10" s="96"/>
      <c r="B10" s="158"/>
      <c r="C10" s="158"/>
      <c r="D10" s="158"/>
      <c r="E10" s="158"/>
      <c r="F10" s="158"/>
      <c r="G10" s="158"/>
      <c r="H10" s="99"/>
    </row>
    <row r="11" spans="1:8" s="55" customFormat="1">
      <c r="A11" s="97" t="s">
        <v>0</v>
      </c>
      <c r="B11" s="95">
        <v>29121</v>
      </c>
      <c r="C11" s="95">
        <v>5812</v>
      </c>
      <c r="D11" s="95">
        <v>34933</v>
      </c>
      <c r="E11" s="95">
        <v>45132</v>
      </c>
      <c r="F11" s="95">
        <v>6562</v>
      </c>
      <c r="G11" s="95">
        <v>51694</v>
      </c>
      <c r="H11" s="47">
        <v>86627</v>
      </c>
    </row>
    <row r="12" spans="1:8" s="55" customFormat="1">
      <c r="A12" s="98"/>
      <c r="B12" s="94"/>
      <c r="C12" s="94"/>
      <c r="D12" s="94"/>
      <c r="E12" s="94"/>
      <c r="F12" s="94"/>
      <c r="G12" s="94"/>
      <c r="H12" s="100"/>
    </row>
    <row r="13" spans="1:8">
      <c r="A13" s="45" t="s">
        <v>189</v>
      </c>
      <c r="B13" s="74">
        <v>5</v>
      </c>
      <c r="C13" s="74">
        <v>0</v>
      </c>
      <c r="D13" s="74">
        <v>5</v>
      </c>
      <c r="E13" s="74">
        <v>2</v>
      </c>
      <c r="F13" s="74">
        <v>0</v>
      </c>
      <c r="G13" s="74">
        <v>2</v>
      </c>
      <c r="H13" s="101">
        <v>7</v>
      </c>
    </row>
    <row r="14" spans="1:8">
      <c r="A14" s="45" t="s">
        <v>52</v>
      </c>
      <c r="B14" s="74">
        <v>0</v>
      </c>
      <c r="C14" s="74">
        <v>0</v>
      </c>
      <c r="D14" s="74">
        <v>0</v>
      </c>
      <c r="E14" s="74">
        <v>2</v>
      </c>
      <c r="F14" s="74">
        <v>0</v>
      </c>
      <c r="G14" s="74">
        <v>2</v>
      </c>
      <c r="H14" s="101">
        <v>2</v>
      </c>
    </row>
    <row r="15" spans="1:8">
      <c r="A15" s="45" t="s">
        <v>322</v>
      </c>
      <c r="B15" s="74">
        <v>14</v>
      </c>
      <c r="C15" s="74">
        <v>7</v>
      </c>
      <c r="D15" s="74">
        <v>21</v>
      </c>
      <c r="E15" s="74">
        <v>9</v>
      </c>
      <c r="F15" s="74">
        <v>14</v>
      </c>
      <c r="G15" s="74">
        <v>23</v>
      </c>
      <c r="H15" s="101">
        <v>44</v>
      </c>
    </row>
    <row r="16" spans="1:8">
      <c r="A16" s="45" t="s">
        <v>107</v>
      </c>
      <c r="B16" s="74">
        <v>17</v>
      </c>
      <c r="C16" s="74">
        <v>1</v>
      </c>
      <c r="D16" s="74">
        <v>18</v>
      </c>
      <c r="E16" s="74">
        <v>24</v>
      </c>
      <c r="F16" s="74">
        <v>2</v>
      </c>
      <c r="G16" s="74">
        <v>26</v>
      </c>
      <c r="H16" s="101">
        <v>44</v>
      </c>
    </row>
    <row r="17" spans="1:8">
      <c r="A17" s="45" t="s">
        <v>235</v>
      </c>
      <c r="B17" s="74">
        <v>1</v>
      </c>
      <c r="C17" s="74">
        <v>0</v>
      </c>
      <c r="D17" s="74">
        <v>1</v>
      </c>
      <c r="E17" s="74">
        <v>1</v>
      </c>
      <c r="F17" s="74">
        <v>0</v>
      </c>
      <c r="G17" s="74">
        <v>1</v>
      </c>
      <c r="H17" s="101">
        <v>2</v>
      </c>
    </row>
    <row r="18" spans="1:8">
      <c r="A18" s="45" t="s">
        <v>191</v>
      </c>
      <c r="B18" s="74">
        <v>1</v>
      </c>
      <c r="C18" s="74">
        <v>0</v>
      </c>
      <c r="D18" s="74">
        <v>1</v>
      </c>
      <c r="E18" s="74">
        <v>0</v>
      </c>
      <c r="F18" s="74">
        <v>0</v>
      </c>
      <c r="G18" s="74">
        <v>0</v>
      </c>
      <c r="H18" s="101">
        <v>1</v>
      </c>
    </row>
    <row r="19" spans="1:8">
      <c r="A19" s="45" t="s">
        <v>111</v>
      </c>
      <c r="B19" s="74">
        <v>0</v>
      </c>
      <c r="C19" s="74">
        <v>0</v>
      </c>
      <c r="D19" s="74">
        <v>0</v>
      </c>
      <c r="E19" s="74">
        <v>1</v>
      </c>
      <c r="F19" s="74">
        <v>0</v>
      </c>
      <c r="G19" s="74">
        <v>1</v>
      </c>
      <c r="H19" s="101">
        <v>1</v>
      </c>
    </row>
    <row r="20" spans="1:8">
      <c r="A20" s="45" t="s">
        <v>193</v>
      </c>
      <c r="B20" s="74">
        <v>0</v>
      </c>
      <c r="C20" s="74">
        <v>0</v>
      </c>
      <c r="D20" s="74">
        <v>0</v>
      </c>
      <c r="E20" s="74">
        <v>1</v>
      </c>
      <c r="F20" s="74">
        <v>0</v>
      </c>
      <c r="G20" s="74">
        <v>1</v>
      </c>
      <c r="H20" s="101">
        <v>1</v>
      </c>
    </row>
    <row r="21" spans="1:8">
      <c r="A21" s="45" t="s">
        <v>113</v>
      </c>
      <c r="B21" s="74">
        <v>6</v>
      </c>
      <c r="C21" s="74">
        <v>1</v>
      </c>
      <c r="D21" s="74">
        <v>7</v>
      </c>
      <c r="E21" s="74">
        <v>0</v>
      </c>
      <c r="F21" s="74">
        <v>2</v>
      </c>
      <c r="G21" s="74">
        <v>2</v>
      </c>
      <c r="H21" s="101">
        <v>9</v>
      </c>
    </row>
    <row r="22" spans="1:8">
      <c r="A22" s="45" t="s">
        <v>114</v>
      </c>
      <c r="B22" s="74">
        <v>3</v>
      </c>
      <c r="C22" s="74">
        <v>7</v>
      </c>
      <c r="D22" s="74">
        <v>10</v>
      </c>
      <c r="E22" s="74">
        <v>1</v>
      </c>
      <c r="F22" s="74">
        <v>7</v>
      </c>
      <c r="G22" s="74">
        <v>8</v>
      </c>
      <c r="H22" s="101">
        <v>18</v>
      </c>
    </row>
    <row r="23" spans="1:8">
      <c r="A23" s="45" t="s">
        <v>195</v>
      </c>
      <c r="B23" s="74">
        <v>1</v>
      </c>
      <c r="C23" s="74">
        <v>0</v>
      </c>
      <c r="D23" s="74">
        <v>1</v>
      </c>
      <c r="E23" s="74">
        <v>0</v>
      </c>
      <c r="F23" s="74">
        <v>0</v>
      </c>
      <c r="G23" s="74">
        <v>0</v>
      </c>
      <c r="H23" s="101">
        <v>1</v>
      </c>
    </row>
    <row r="24" spans="1:8">
      <c r="A24" s="45" t="s">
        <v>115</v>
      </c>
      <c r="B24" s="74">
        <v>3</v>
      </c>
      <c r="C24" s="74">
        <v>0</v>
      </c>
      <c r="D24" s="74">
        <v>3</v>
      </c>
      <c r="E24" s="74">
        <v>4</v>
      </c>
      <c r="F24" s="74">
        <v>0</v>
      </c>
      <c r="G24" s="74">
        <v>4</v>
      </c>
      <c r="H24" s="101">
        <v>7</v>
      </c>
    </row>
    <row r="25" spans="1:8">
      <c r="A25" s="45" t="s">
        <v>116</v>
      </c>
      <c r="B25" s="74">
        <v>1</v>
      </c>
      <c r="C25" s="74">
        <v>2</v>
      </c>
      <c r="D25" s="74">
        <v>3</v>
      </c>
      <c r="E25" s="74">
        <v>4</v>
      </c>
      <c r="F25" s="74">
        <v>5</v>
      </c>
      <c r="G25" s="74">
        <v>9</v>
      </c>
      <c r="H25" s="101">
        <v>12</v>
      </c>
    </row>
    <row r="26" spans="1:8">
      <c r="A26" s="45" t="s">
        <v>28</v>
      </c>
      <c r="B26" s="74">
        <v>422</v>
      </c>
      <c r="C26" s="74">
        <v>103</v>
      </c>
      <c r="D26" s="74">
        <v>525</v>
      </c>
      <c r="E26" s="74">
        <v>832</v>
      </c>
      <c r="F26" s="74">
        <v>124</v>
      </c>
      <c r="G26" s="74">
        <v>956</v>
      </c>
      <c r="H26" s="101">
        <v>1481</v>
      </c>
    </row>
    <row r="27" spans="1:8">
      <c r="A27" s="45" t="s">
        <v>62</v>
      </c>
      <c r="B27" s="74">
        <v>0</v>
      </c>
      <c r="C27" s="74">
        <v>0</v>
      </c>
      <c r="D27" s="74">
        <v>0</v>
      </c>
      <c r="E27" s="74">
        <v>1</v>
      </c>
      <c r="F27" s="74">
        <v>0</v>
      </c>
      <c r="G27" s="74">
        <v>1</v>
      </c>
      <c r="H27" s="101">
        <v>1</v>
      </c>
    </row>
    <row r="28" spans="1:8">
      <c r="A28" s="45" t="s">
        <v>196</v>
      </c>
      <c r="B28" s="74">
        <v>0</v>
      </c>
      <c r="C28" s="74">
        <v>0</v>
      </c>
      <c r="D28" s="74">
        <v>0</v>
      </c>
      <c r="E28" s="74">
        <v>1</v>
      </c>
      <c r="F28" s="74">
        <v>0</v>
      </c>
      <c r="G28" s="74">
        <v>1</v>
      </c>
      <c r="H28" s="101">
        <v>1</v>
      </c>
    </row>
    <row r="29" spans="1:8">
      <c r="A29" s="45" t="s">
        <v>30</v>
      </c>
      <c r="B29" s="74">
        <v>414</v>
      </c>
      <c r="C29" s="74">
        <v>78</v>
      </c>
      <c r="D29" s="74">
        <v>492</v>
      </c>
      <c r="E29" s="74">
        <v>527</v>
      </c>
      <c r="F29" s="74">
        <v>63</v>
      </c>
      <c r="G29" s="74">
        <v>590</v>
      </c>
      <c r="H29" s="101">
        <v>1082</v>
      </c>
    </row>
    <row r="30" spans="1:8">
      <c r="A30" s="45" t="s">
        <v>31</v>
      </c>
      <c r="B30" s="74">
        <v>12</v>
      </c>
      <c r="C30" s="74">
        <v>11</v>
      </c>
      <c r="D30" s="74">
        <v>23</v>
      </c>
      <c r="E30" s="74">
        <v>39</v>
      </c>
      <c r="F30" s="74">
        <v>17</v>
      </c>
      <c r="G30" s="74">
        <v>56</v>
      </c>
      <c r="H30" s="101">
        <v>79</v>
      </c>
    </row>
    <row r="31" spans="1:8">
      <c r="A31" s="45" t="s">
        <v>32</v>
      </c>
      <c r="B31" s="74">
        <v>138</v>
      </c>
      <c r="C31" s="74">
        <v>23</v>
      </c>
      <c r="D31" s="74">
        <v>161</v>
      </c>
      <c r="E31" s="74">
        <v>168</v>
      </c>
      <c r="F31" s="74">
        <v>34</v>
      </c>
      <c r="G31" s="74">
        <v>202</v>
      </c>
      <c r="H31" s="101">
        <v>363</v>
      </c>
    </row>
    <row r="32" spans="1:8">
      <c r="A32" s="45" t="s">
        <v>200</v>
      </c>
      <c r="B32" s="74">
        <v>1</v>
      </c>
      <c r="C32" s="74">
        <v>0</v>
      </c>
      <c r="D32" s="74">
        <v>1</v>
      </c>
      <c r="E32" s="74">
        <v>2</v>
      </c>
      <c r="F32" s="74">
        <v>0</v>
      </c>
      <c r="G32" s="74">
        <v>2</v>
      </c>
      <c r="H32" s="101">
        <v>3</v>
      </c>
    </row>
    <row r="33" spans="1:8">
      <c r="A33" s="45" t="s">
        <v>26</v>
      </c>
      <c r="B33" s="74">
        <v>4</v>
      </c>
      <c r="C33" s="74">
        <v>0</v>
      </c>
      <c r="D33" s="74">
        <v>4</v>
      </c>
      <c r="E33" s="74">
        <v>6</v>
      </c>
      <c r="F33" s="74">
        <v>2</v>
      </c>
      <c r="G33" s="74">
        <v>8</v>
      </c>
      <c r="H33" s="101">
        <v>12</v>
      </c>
    </row>
    <row r="34" spans="1:8">
      <c r="A34" s="45" t="s">
        <v>201</v>
      </c>
      <c r="B34" s="74">
        <v>1</v>
      </c>
      <c r="C34" s="74">
        <v>0</v>
      </c>
      <c r="D34" s="74">
        <v>1</v>
      </c>
      <c r="E34" s="74">
        <v>0</v>
      </c>
      <c r="F34" s="74">
        <v>0</v>
      </c>
      <c r="G34" s="74">
        <v>0</v>
      </c>
      <c r="H34" s="101">
        <v>1</v>
      </c>
    </row>
    <row r="35" spans="1:8">
      <c r="A35" s="45" t="s">
        <v>202</v>
      </c>
      <c r="B35" s="74">
        <v>122</v>
      </c>
      <c r="C35" s="74">
        <v>34</v>
      </c>
      <c r="D35" s="74">
        <v>156</v>
      </c>
      <c r="E35" s="74">
        <v>140</v>
      </c>
      <c r="F35" s="74">
        <v>48</v>
      </c>
      <c r="G35" s="74">
        <v>188</v>
      </c>
      <c r="H35" s="101">
        <v>344</v>
      </c>
    </row>
    <row r="36" spans="1:8">
      <c r="A36" s="45" t="s">
        <v>149</v>
      </c>
      <c r="B36" s="74">
        <v>3</v>
      </c>
      <c r="C36" s="74">
        <v>1</v>
      </c>
      <c r="D36" s="74">
        <v>4</v>
      </c>
      <c r="E36" s="74">
        <v>0</v>
      </c>
      <c r="F36" s="74">
        <v>2</v>
      </c>
      <c r="G36" s="74">
        <v>2</v>
      </c>
      <c r="H36" s="101">
        <v>6</v>
      </c>
    </row>
    <row r="37" spans="1:8">
      <c r="A37" s="45" t="s">
        <v>67</v>
      </c>
      <c r="B37" s="74">
        <v>0</v>
      </c>
      <c r="C37" s="74">
        <v>0</v>
      </c>
      <c r="D37" s="74">
        <v>0</v>
      </c>
      <c r="E37" s="74">
        <v>3</v>
      </c>
      <c r="F37" s="74">
        <v>0</v>
      </c>
      <c r="G37" s="74">
        <v>3</v>
      </c>
      <c r="H37" s="101">
        <v>3</v>
      </c>
    </row>
    <row r="38" spans="1:8">
      <c r="A38" s="45" t="s">
        <v>150</v>
      </c>
      <c r="B38" s="74">
        <v>0</v>
      </c>
      <c r="C38" s="74">
        <v>0</v>
      </c>
      <c r="D38" s="74">
        <v>0</v>
      </c>
      <c r="E38" s="74">
        <v>1</v>
      </c>
      <c r="F38" s="74">
        <v>0</v>
      </c>
      <c r="G38" s="74">
        <v>1</v>
      </c>
      <c r="H38" s="101">
        <v>1</v>
      </c>
    </row>
    <row r="39" spans="1:8">
      <c r="A39" s="45" t="s">
        <v>121</v>
      </c>
      <c r="B39" s="74">
        <v>17</v>
      </c>
      <c r="C39" s="74">
        <v>7</v>
      </c>
      <c r="D39" s="74">
        <v>24</v>
      </c>
      <c r="E39" s="74">
        <v>16</v>
      </c>
      <c r="F39" s="74">
        <v>3</v>
      </c>
      <c r="G39" s="74">
        <v>19</v>
      </c>
      <c r="H39" s="101">
        <v>43</v>
      </c>
    </row>
    <row r="40" spans="1:8">
      <c r="A40" s="45" t="s">
        <v>353</v>
      </c>
      <c r="B40" s="74">
        <v>1</v>
      </c>
      <c r="C40" s="74">
        <v>0</v>
      </c>
      <c r="D40" s="74">
        <v>1</v>
      </c>
      <c r="E40" s="74">
        <v>0</v>
      </c>
      <c r="F40" s="74">
        <v>0</v>
      </c>
      <c r="G40" s="74">
        <v>0</v>
      </c>
      <c r="H40" s="101">
        <v>1</v>
      </c>
    </row>
    <row r="41" spans="1:8">
      <c r="A41" s="45" t="s">
        <v>123</v>
      </c>
      <c r="B41" s="74">
        <v>20</v>
      </c>
      <c r="C41" s="74">
        <v>6</v>
      </c>
      <c r="D41" s="74">
        <v>26</v>
      </c>
      <c r="E41" s="74">
        <v>45</v>
      </c>
      <c r="F41" s="74">
        <v>6</v>
      </c>
      <c r="G41" s="74">
        <v>51</v>
      </c>
      <c r="H41" s="101">
        <v>77</v>
      </c>
    </row>
    <row r="42" spans="1:8">
      <c r="A42" s="45" t="s">
        <v>124</v>
      </c>
      <c r="B42" s="74">
        <v>136</v>
      </c>
      <c r="C42" s="74">
        <v>35</v>
      </c>
      <c r="D42" s="74">
        <v>171</v>
      </c>
      <c r="E42" s="74">
        <v>138</v>
      </c>
      <c r="F42" s="74">
        <v>39</v>
      </c>
      <c r="G42" s="74">
        <v>177</v>
      </c>
      <c r="H42" s="101">
        <v>348</v>
      </c>
    </row>
    <row r="43" spans="1:8">
      <c r="A43" s="45" t="s">
        <v>206</v>
      </c>
      <c r="B43" s="74">
        <v>1</v>
      </c>
      <c r="C43" s="74">
        <v>0</v>
      </c>
      <c r="D43" s="74">
        <v>1</v>
      </c>
      <c r="E43" s="74">
        <v>0</v>
      </c>
      <c r="F43" s="74">
        <v>0</v>
      </c>
      <c r="G43" s="74">
        <v>0</v>
      </c>
      <c r="H43" s="101">
        <v>1</v>
      </c>
    </row>
    <row r="44" spans="1:8">
      <c r="A44" s="45" t="s">
        <v>33</v>
      </c>
      <c r="B44" s="74">
        <v>7</v>
      </c>
      <c r="C44" s="74">
        <v>0</v>
      </c>
      <c r="D44" s="74">
        <v>7</v>
      </c>
      <c r="E44" s="74">
        <v>1</v>
      </c>
      <c r="F44" s="74">
        <v>0</v>
      </c>
      <c r="G44" s="74">
        <v>1</v>
      </c>
      <c r="H44" s="101">
        <v>8</v>
      </c>
    </row>
    <row r="45" spans="1:8">
      <c r="A45" s="45" t="s">
        <v>153</v>
      </c>
      <c r="B45" s="74">
        <v>0</v>
      </c>
      <c r="C45" s="74">
        <v>0</v>
      </c>
      <c r="D45" s="74">
        <v>0</v>
      </c>
      <c r="E45" s="74">
        <v>3</v>
      </c>
      <c r="F45" s="74">
        <v>0</v>
      </c>
      <c r="G45" s="74">
        <v>3</v>
      </c>
      <c r="H45" s="101">
        <v>3</v>
      </c>
    </row>
    <row r="46" spans="1:8">
      <c r="A46" s="45" t="s">
        <v>154</v>
      </c>
      <c r="B46" s="74">
        <v>0</v>
      </c>
      <c r="C46" s="74">
        <v>0</v>
      </c>
      <c r="D46" s="74">
        <v>0</v>
      </c>
      <c r="E46" s="74">
        <v>1</v>
      </c>
      <c r="F46" s="74">
        <v>0</v>
      </c>
      <c r="G46" s="74">
        <v>1</v>
      </c>
      <c r="H46" s="101">
        <v>1</v>
      </c>
    </row>
    <row r="47" spans="1:8">
      <c r="A47" s="45" t="s">
        <v>209</v>
      </c>
      <c r="B47" s="74">
        <v>1</v>
      </c>
      <c r="C47" s="74">
        <v>1</v>
      </c>
      <c r="D47" s="74">
        <v>2</v>
      </c>
      <c r="E47" s="74">
        <v>3</v>
      </c>
      <c r="F47" s="74">
        <v>2</v>
      </c>
      <c r="G47" s="74">
        <v>5</v>
      </c>
      <c r="H47" s="101">
        <v>7</v>
      </c>
    </row>
    <row r="48" spans="1:8">
      <c r="A48" s="45" t="s">
        <v>126</v>
      </c>
      <c r="B48" s="74">
        <v>2</v>
      </c>
      <c r="C48" s="74">
        <v>0</v>
      </c>
      <c r="D48" s="74">
        <v>2</v>
      </c>
      <c r="E48" s="74">
        <v>19</v>
      </c>
      <c r="F48" s="74">
        <v>0</v>
      </c>
      <c r="G48" s="74">
        <v>19</v>
      </c>
      <c r="H48" s="101">
        <v>21</v>
      </c>
    </row>
    <row r="49" spans="1:8">
      <c r="A49" s="45" t="s">
        <v>157</v>
      </c>
      <c r="B49" s="74">
        <v>0</v>
      </c>
      <c r="C49" s="74">
        <v>0</v>
      </c>
      <c r="D49" s="74">
        <v>0</v>
      </c>
      <c r="E49" s="74">
        <v>1</v>
      </c>
      <c r="F49" s="74">
        <v>0</v>
      </c>
      <c r="G49" s="74">
        <v>1</v>
      </c>
      <c r="H49" s="101">
        <v>1</v>
      </c>
    </row>
    <row r="50" spans="1:8">
      <c r="A50" s="45" t="s">
        <v>158</v>
      </c>
      <c r="B50" s="74">
        <v>2</v>
      </c>
      <c r="C50" s="74">
        <v>0</v>
      </c>
      <c r="D50" s="74">
        <v>2</v>
      </c>
      <c r="E50" s="74">
        <v>2</v>
      </c>
      <c r="F50" s="74">
        <v>2</v>
      </c>
      <c r="G50" s="74">
        <v>4</v>
      </c>
      <c r="H50" s="101">
        <v>6</v>
      </c>
    </row>
    <row r="51" spans="1:8">
      <c r="A51" s="45" t="s">
        <v>210</v>
      </c>
      <c r="B51" s="74">
        <v>1</v>
      </c>
      <c r="C51" s="74">
        <v>0</v>
      </c>
      <c r="D51" s="74">
        <v>1</v>
      </c>
      <c r="E51" s="74">
        <v>0</v>
      </c>
      <c r="F51" s="74">
        <v>0</v>
      </c>
      <c r="G51" s="74">
        <v>0</v>
      </c>
      <c r="H51" s="101">
        <v>1</v>
      </c>
    </row>
    <row r="52" spans="1:8">
      <c r="A52" s="45" t="s">
        <v>161</v>
      </c>
      <c r="B52" s="74">
        <v>0</v>
      </c>
      <c r="C52" s="74">
        <v>0</v>
      </c>
      <c r="D52" s="74">
        <v>0</v>
      </c>
      <c r="E52" s="74">
        <v>1</v>
      </c>
      <c r="F52" s="74">
        <v>0</v>
      </c>
      <c r="G52" s="74">
        <v>1</v>
      </c>
      <c r="H52" s="101">
        <v>1</v>
      </c>
    </row>
    <row r="53" spans="1:8">
      <c r="A53" s="45" t="s">
        <v>214</v>
      </c>
      <c r="B53" s="74">
        <v>0</v>
      </c>
      <c r="C53" s="74">
        <v>0</v>
      </c>
      <c r="D53" s="74">
        <v>0</v>
      </c>
      <c r="E53" s="74">
        <v>1</v>
      </c>
      <c r="F53" s="74">
        <v>0</v>
      </c>
      <c r="G53" s="74">
        <v>1</v>
      </c>
      <c r="H53" s="101">
        <v>1</v>
      </c>
    </row>
    <row r="54" spans="1:8">
      <c r="A54" s="45" t="s">
        <v>127</v>
      </c>
      <c r="B54" s="74">
        <v>12</v>
      </c>
      <c r="C54" s="74">
        <v>1</v>
      </c>
      <c r="D54" s="74">
        <v>13</v>
      </c>
      <c r="E54" s="74">
        <v>32</v>
      </c>
      <c r="F54" s="74">
        <v>2</v>
      </c>
      <c r="G54" s="74">
        <v>34</v>
      </c>
      <c r="H54" s="101">
        <v>47</v>
      </c>
    </row>
    <row r="55" spans="1:8">
      <c r="A55" s="45" t="s">
        <v>81</v>
      </c>
      <c r="B55" s="74">
        <v>0</v>
      </c>
      <c r="C55" s="74">
        <v>3</v>
      </c>
      <c r="D55" s="74">
        <v>3</v>
      </c>
      <c r="E55" s="74">
        <v>1</v>
      </c>
      <c r="F55" s="74">
        <v>1</v>
      </c>
      <c r="G55" s="74">
        <v>2</v>
      </c>
      <c r="H55" s="101">
        <v>5</v>
      </c>
    </row>
    <row r="56" spans="1:8">
      <c r="A56" s="45" t="s">
        <v>167</v>
      </c>
      <c r="B56" s="74">
        <v>9</v>
      </c>
      <c r="C56" s="74">
        <v>1</v>
      </c>
      <c r="D56" s="74">
        <v>10</v>
      </c>
      <c r="E56" s="74">
        <v>19</v>
      </c>
      <c r="F56" s="74">
        <v>5</v>
      </c>
      <c r="G56" s="74">
        <v>24</v>
      </c>
      <c r="H56" s="101">
        <v>34</v>
      </c>
    </row>
    <row r="57" spans="1:8">
      <c r="A57" s="45" t="s">
        <v>25</v>
      </c>
      <c r="B57" s="74">
        <v>26935</v>
      </c>
      <c r="C57" s="74">
        <v>5283</v>
      </c>
      <c r="D57" s="74">
        <v>32218</v>
      </c>
      <c r="E57" s="74">
        <v>41716</v>
      </c>
      <c r="F57" s="74">
        <v>5960</v>
      </c>
      <c r="G57" s="74">
        <v>47676</v>
      </c>
      <c r="H57" s="101">
        <v>79894</v>
      </c>
    </row>
    <row r="58" spans="1:8">
      <c r="A58" s="45" t="s">
        <v>83</v>
      </c>
      <c r="B58" s="74">
        <v>0</v>
      </c>
      <c r="C58" s="74">
        <v>0</v>
      </c>
      <c r="D58" s="74">
        <v>0</v>
      </c>
      <c r="E58" s="74">
        <v>3</v>
      </c>
      <c r="F58" s="74">
        <v>0</v>
      </c>
      <c r="G58" s="74">
        <v>3</v>
      </c>
      <c r="H58" s="101">
        <v>3</v>
      </c>
    </row>
    <row r="59" spans="1:8">
      <c r="A59" s="45" t="s">
        <v>219</v>
      </c>
      <c r="B59" s="74">
        <v>0</v>
      </c>
      <c r="C59" s="74">
        <v>0</v>
      </c>
      <c r="D59" s="74">
        <v>0</v>
      </c>
      <c r="E59" s="74">
        <v>1</v>
      </c>
      <c r="F59" s="74">
        <v>0</v>
      </c>
      <c r="G59" s="74">
        <v>1</v>
      </c>
      <c r="H59" s="101">
        <v>1</v>
      </c>
    </row>
    <row r="60" spans="1:8">
      <c r="A60" s="45" t="s">
        <v>169</v>
      </c>
      <c r="B60" s="74">
        <v>0</v>
      </c>
      <c r="C60" s="74">
        <v>0</v>
      </c>
      <c r="D60" s="74">
        <v>0</v>
      </c>
      <c r="E60" s="74">
        <v>2</v>
      </c>
      <c r="F60" s="74">
        <v>0</v>
      </c>
      <c r="G60" s="74">
        <v>2</v>
      </c>
      <c r="H60" s="101">
        <v>2</v>
      </c>
    </row>
    <row r="61" spans="1:8">
      <c r="A61" s="45" t="s">
        <v>170</v>
      </c>
      <c r="B61" s="74">
        <v>0</v>
      </c>
      <c r="C61" s="74">
        <v>0</v>
      </c>
      <c r="D61" s="74">
        <v>0</v>
      </c>
      <c r="E61" s="74">
        <v>1</v>
      </c>
      <c r="F61" s="74">
        <v>0</v>
      </c>
      <c r="G61" s="74">
        <v>1</v>
      </c>
      <c r="H61" s="101">
        <v>1</v>
      </c>
    </row>
    <row r="62" spans="1:8">
      <c r="A62" s="45" t="s">
        <v>29</v>
      </c>
      <c r="B62" s="74">
        <v>11</v>
      </c>
      <c r="C62" s="74">
        <v>7</v>
      </c>
      <c r="D62" s="74">
        <v>18</v>
      </c>
      <c r="E62" s="74">
        <v>26</v>
      </c>
      <c r="F62" s="74">
        <v>7</v>
      </c>
      <c r="G62" s="74">
        <v>33</v>
      </c>
      <c r="H62" s="101">
        <v>51</v>
      </c>
    </row>
    <row r="63" spans="1:8">
      <c r="A63" s="45" t="s">
        <v>128</v>
      </c>
      <c r="B63" s="74">
        <v>1</v>
      </c>
      <c r="C63" s="74">
        <v>0</v>
      </c>
      <c r="D63" s="74">
        <v>1</v>
      </c>
      <c r="E63" s="74">
        <v>0</v>
      </c>
      <c r="F63" s="74">
        <v>0</v>
      </c>
      <c r="G63" s="74">
        <v>0</v>
      </c>
      <c r="H63" s="101">
        <v>1</v>
      </c>
    </row>
    <row r="64" spans="1:8">
      <c r="A64" s="45" t="s">
        <v>129</v>
      </c>
      <c r="B64" s="74">
        <v>16</v>
      </c>
      <c r="C64" s="74">
        <v>7</v>
      </c>
      <c r="D64" s="74">
        <v>23</v>
      </c>
      <c r="E64" s="74">
        <v>18</v>
      </c>
      <c r="F64" s="74">
        <v>7</v>
      </c>
      <c r="G64" s="74">
        <v>25</v>
      </c>
      <c r="H64" s="101">
        <v>48</v>
      </c>
    </row>
    <row r="65" spans="1:8">
      <c r="A65" s="45" t="s">
        <v>220</v>
      </c>
      <c r="B65" s="74">
        <v>0</v>
      </c>
      <c r="C65" s="74">
        <v>0</v>
      </c>
      <c r="D65" s="74">
        <v>0</v>
      </c>
      <c r="E65" s="74">
        <v>1</v>
      </c>
      <c r="F65" s="74">
        <v>0</v>
      </c>
      <c r="G65" s="74">
        <v>1</v>
      </c>
      <c r="H65" s="101">
        <v>1</v>
      </c>
    </row>
    <row r="66" spans="1:8">
      <c r="A66" s="45" t="s">
        <v>221</v>
      </c>
      <c r="B66" s="74">
        <v>0</v>
      </c>
      <c r="C66" s="74">
        <v>0</v>
      </c>
      <c r="D66" s="74">
        <v>0</v>
      </c>
      <c r="E66" s="74">
        <v>1</v>
      </c>
      <c r="F66" s="74">
        <v>0</v>
      </c>
      <c r="G66" s="74">
        <v>1</v>
      </c>
      <c r="H66" s="101">
        <v>1</v>
      </c>
    </row>
    <row r="67" spans="1:8">
      <c r="A67" s="45" t="s">
        <v>223</v>
      </c>
      <c r="B67" s="74">
        <v>0</v>
      </c>
      <c r="C67" s="74">
        <v>1</v>
      </c>
      <c r="D67" s="74">
        <v>1</v>
      </c>
      <c r="E67" s="74">
        <v>2</v>
      </c>
      <c r="F67" s="74">
        <v>0</v>
      </c>
      <c r="G67" s="74">
        <v>2</v>
      </c>
      <c r="H67" s="101">
        <v>3</v>
      </c>
    </row>
    <row r="68" spans="1:8">
      <c r="A68" s="45" t="s">
        <v>324</v>
      </c>
      <c r="B68" s="74">
        <v>1</v>
      </c>
      <c r="C68" s="74">
        <v>2</v>
      </c>
      <c r="D68" s="74">
        <v>3</v>
      </c>
      <c r="E68" s="74">
        <v>0</v>
      </c>
      <c r="F68" s="74">
        <v>1</v>
      </c>
      <c r="G68" s="74">
        <v>1</v>
      </c>
      <c r="H68" s="101">
        <v>4</v>
      </c>
    </row>
    <row r="69" spans="1:8">
      <c r="A69" s="45" t="s">
        <v>327</v>
      </c>
      <c r="B69" s="74">
        <v>1</v>
      </c>
      <c r="C69" s="74">
        <v>0</v>
      </c>
      <c r="D69" s="74">
        <v>1</v>
      </c>
      <c r="E69" s="74">
        <v>1</v>
      </c>
      <c r="F69" s="74">
        <v>0</v>
      </c>
      <c r="G69" s="74">
        <v>1</v>
      </c>
      <c r="H69" s="101">
        <v>2</v>
      </c>
    </row>
    <row r="70" spans="1:8">
      <c r="A70" s="45" t="s">
        <v>35</v>
      </c>
      <c r="B70" s="74">
        <v>46</v>
      </c>
      <c r="C70" s="74">
        <v>0</v>
      </c>
      <c r="D70" s="74">
        <v>46</v>
      </c>
      <c r="E70" s="74">
        <v>37</v>
      </c>
      <c r="F70" s="74">
        <v>3</v>
      </c>
      <c r="G70" s="74">
        <v>40</v>
      </c>
      <c r="H70" s="101">
        <v>86</v>
      </c>
    </row>
    <row r="71" spans="1:8">
      <c r="A71" s="45" t="s">
        <v>34</v>
      </c>
      <c r="B71" s="74">
        <v>24</v>
      </c>
      <c r="C71" s="74">
        <v>0</v>
      </c>
      <c r="D71" s="74">
        <v>24</v>
      </c>
      <c r="E71" s="74">
        <v>41</v>
      </c>
      <c r="F71" s="74">
        <v>0</v>
      </c>
      <c r="G71" s="74">
        <v>41</v>
      </c>
      <c r="H71" s="101">
        <v>65</v>
      </c>
    </row>
    <row r="72" spans="1:8">
      <c r="A72" s="45" t="s">
        <v>226</v>
      </c>
      <c r="B72" s="74">
        <v>2</v>
      </c>
      <c r="C72" s="74">
        <v>0</v>
      </c>
      <c r="D72" s="74">
        <v>2</v>
      </c>
      <c r="E72" s="74">
        <v>1</v>
      </c>
      <c r="F72" s="74">
        <v>0</v>
      </c>
      <c r="G72" s="74">
        <v>1</v>
      </c>
      <c r="H72" s="101">
        <v>3</v>
      </c>
    </row>
    <row r="73" spans="1:8">
      <c r="A73" s="45" t="s">
        <v>177</v>
      </c>
      <c r="B73" s="74">
        <v>3</v>
      </c>
      <c r="C73" s="74">
        <v>0</v>
      </c>
      <c r="D73" s="74">
        <v>3</v>
      </c>
      <c r="E73" s="74">
        <v>6</v>
      </c>
      <c r="F73" s="74">
        <v>0</v>
      </c>
      <c r="G73" s="74">
        <v>6</v>
      </c>
      <c r="H73" s="101">
        <v>9</v>
      </c>
    </row>
    <row r="74" spans="1:8">
      <c r="A74" s="45" t="s">
        <v>94</v>
      </c>
      <c r="B74" s="74">
        <v>2</v>
      </c>
      <c r="C74" s="74">
        <v>2</v>
      </c>
      <c r="D74" s="74">
        <v>4</v>
      </c>
      <c r="E74" s="74">
        <v>1</v>
      </c>
      <c r="F74" s="74">
        <v>0</v>
      </c>
      <c r="G74" s="74">
        <v>1</v>
      </c>
      <c r="H74" s="101">
        <v>5</v>
      </c>
    </row>
    <row r="75" spans="1:8">
      <c r="A75" s="45" t="s">
        <v>95</v>
      </c>
      <c r="B75" s="74">
        <v>1</v>
      </c>
      <c r="C75" s="74">
        <v>0</v>
      </c>
      <c r="D75" s="74">
        <v>1</v>
      </c>
      <c r="E75" s="74">
        <v>0</v>
      </c>
      <c r="F75" s="74">
        <v>0</v>
      </c>
      <c r="G75" s="74">
        <v>0</v>
      </c>
      <c r="H75" s="101">
        <v>1</v>
      </c>
    </row>
    <row r="76" spans="1:8">
      <c r="A76" s="45" t="s">
        <v>230</v>
      </c>
      <c r="B76" s="74">
        <v>0</v>
      </c>
      <c r="C76" s="74">
        <v>0</v>
      </c>
      <c r="D76" s="74">
        <v>0</v>
      </c>
      <c r="E76" s="74">
        <v>0</v>
      </c>
      <c r="F76" s="74">
        <v>1</v>
      </c>
      <c r="G76" s="74">
        <v>1</v>
      </c>
      <c r="H76" s="101">
        <v>1</v>
      </c>
    </row>
    <row r="77" spans="1:8">
      <c r="A77" s="45" t="s">
        <v>136</v>
      </c>
      <c r="B77" s="74">
        <v>1</v>
      </c>
      <c r="C77" s="74">
        <v>0</v>
      </c>
      <c r="D77" s="74">
        <v>1</v>
      </c>
      <c r="E77" s="74">
        <v>1</v>
      </c>
      <c r="F77" s="74">
        <v>0</v>
      </c>
      <c r="G77" s="74">
        <v>1</v>
      </c>
      <c r="H77" s="101">
        <v>2</v>
      </c>
    </row>
    <row r="78" spans="1:8">
      <c r="A78" s="45" t="s">
        <v>183</v>
      </c>
      <c r="B78" s="74">
        <v>0</v>
      </c>
      <c r="C78" s="74">
        <v>0</v>
      </c>
      <c r="D78" s="74">
        <v>0</v>
      </c>
      <c r="E78" s="74">
        <v>4</v>
      </c>
      <c r="F78" s="74">
        <v>0</v>
      </c>
      <c r="G78" s="74">
        <v>4</v>
      </c>
      <c r="H78" s="101">
        <v>4</v>
      </c>
    </row>
    <row r="79" spans="1:8">
      <c r="A79" s="45" t="s">
        <v>232</v>
      </c>
      <c r="B79" s="74">
        <v>24</v>
      </c>
      <c r="C79" s="74">
        <v>4</v>
      </c>
      <c r="D79" s="74">
        <v>28</v>
      </c>
      <c r="E79" s="74">
        <v>8</v>
      </c>
      <c r="F79" s="74">
        <v>1</v>
      </c>
      <c r="G79" s="74">
        <v>9</v>
      </c>
      <c r="H79" s="101">
        <v>37</v>
      </c>
    </row>
    <row r="80" spans="1:8">
      <c r="A80" s="45" t="s">
        <v>138</v>
      </c>
      <c r="B80" s="74">
        <v>1</v>
      </c>
      <c r="C80" s="74">
        <v>2</v>
      </c>
      <c r="D80" s="74">
        <v>3</v>
      </c>
      <c r="E80" s="74">
        <v>2</v>
      </c>
      <c r="F80" s="74">
        <v>0</v>
      </c>
      <c r="G80" s="74">
        <v>2</v>
      </c>
      <c r="H80" s="101">
        <v>5</v>
      </c>
    </row>
    <row r="81" spans="1:8">
      <c r="A81" s="45" t="s">
        <v>27</v>
      </c>
      <c r="B81" s="74">
        <v>673</v>
      </c>
      <c r="C81" s="74">
        <v>182</v>
      </c>
      <c r="D81" s="74">
        <v>855</v>
      </c>
      <c r="E81" s="74">
        <v>1200</v>
      </c>
      <c r="F81" s="74">
        <v>202</v>
      </c>
      <c r="G81" s="74">
        <v>1402</v>
      </c>
      <c r="H81" s="101">
        <v>2257</v>
      </c>
    </row>
    <row r="82" spans="1:8">
      <c r="A82" s="45" t="s">
        <v>185</v>
      </c>
      <c r="B82" s="74">
        <v>1</v>
      </c>
      <c r="C82" s="74">
        <v>0</v>
      </c>
      <c r="D82" s="74">
        <v>1</v>
      </c>
      <c r="E82" s="74">
        <v>6</v>
      </c>
      <c r="F82" s="74">
        <v>0</v>
      </c>
      <c r="G82" s="74">
        <v>6</v>
      </c>
      <c r="H82" s="101">
        <v>7</v>
      </c>
    </row>
    <row r="83" spans="1:8">
      <c r="A83" s="45" t="s">
        <v>186</v>
      </c>
      <c r="B83" s="74">
        <v>0</v>
      </c>
      <c r="C83" s="74">
        <v>0</v>
      </c>
      <c r="D83" s="74">
        <v>0</v>
      </c>
      <c r="E83" s="74">
        <v>1</v>
      </c>
      <c r="F83" s="74">
        <v>0</v>
      </c>
      <c r="G83" s="74">
        <v>1</v>
      </c>
      <c r="H83" s="101">
        <v>1</v>
      </c>
    </row>
    <row r="84" spans="1:8">
      <c r="A84" s="102"/>
      <c r="B84" s="103"/>
      <c r="C84" s="103"/>
      <c r="D84" s="103"/>
      <c r="E84" s="103"/>
      <c r="F84" s="103"/>
      <c r="G84" s="103"/>
      <c r="H84" s="104"/>
    </row>
    <row r="85" spans="1:8">
      <c r="A85" s="105" t="s">
        <v>16</v>
      </c>
      <c r="B85" s="33"/>
      <c r="C85" s="33"/>
      <c r="D85" s="33"/>
      <c r="E85" s="33"/>
      <c r="F85" s="33"/>
      <c r="G85" s="33"/>
      <c r="H85" s="33"/>
    </row>
    <row r="86" spans="1:8">
      <c r="A86" s="152" t="s">
        <v>357</v>
      </c>
      <c r="B86" s="153"/>
      <c r="C86" s="153"/>
      <c r="D86" s="153"/>
      <c r="E86" s="153"/>
      <c r="F86" s="153"/>
      <c r="G86" s="153"/>
      <c r="H86" s="153"/>
    </row>
  </sheetData>
  <sortState xmlns:xlrd2="http://schemas.microsoft.com/office/spreadsheetml/2017/richdata2" ref="A13:H83">
    <sortCondition ref="A13:A83"/>
  </sortState>
  <mergeCells count="13">
    <mergeCell ref="A1:H1"/>
    <mergeCell ref="A2:H2"/>
    <mergeCell ref="A3:H3"/>
    <mergeCell ref="A4:H4"/>
    <mergeCell ref="A5:H5"/>
    <mergeCell ref="B8:D8"/>
    <mergeCell ref="E8:G8"/>
    <mergeCell ref="A86:H86"/>
    <mergeCell ref="B10:D10"/>
    <mergeCell ref="E10:G10"/>
    <mergeCell ref="A7:A9"/>
    <mergeCell ref="B7:G7"/>
    <mergeCell ref="H7:H9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6"/>
  <sheetViews>
    <sheetView workbookViewId="0">
      <selection activeCell="N12" sqref="N12"/>
    </sheetView>
  </sheetViews>
  <sheetFormatPr baseColWidth="10" defaultRowHeight="15"/>
  <cols>
    <col min="1" max="1" width="28.5703125" customWidth="1"/>
    <col min="2" max="10" width="8.7109375" customWidth="1"/>
  </cols>
  <sheetData>
    <row r="1" spans="1:11">
      <c r="A1" s="157" t="s">
        <v>18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</row>
    <row r="2" spans="1:11">
      <c r="A2" s="157" t="s">
        <v>418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</row>
    <row r="3" spans="1:11">
      <c r="A3" s="157" t="s">
        <v>346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</row>
    <row r="4" spans="1:11">
      <c r="A4" s="157" t="s">
        <v>20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</row>
    <row r="5" spans="1:11">
      <c r="A5" s="157" t="s">
        <v>342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</row>
    <row r="7" spans="1:11">
      <c r="A7" s="159" t="s">
        <v>37</v>
      </c>
      <c r="B7" s="162" t="s">
        <v>337</v>
      </c>
      <c r="C7" s="162"/>
      <c r="D7" s="162"/>
      <c r="E7" s="162"/>
      <c r="F7" s="162"/>
      <c r="G7" s="162"/>
      <c r="H7" s="162"/>
      <c r="I7" s="162"/>
      <c r="J7" s="162"/>
      <c r="K7" s="163" t="s">
        <v>0</v>
      </c>
    </row>
    <row r="8" spans="1:11">
      <c r="A8" s="160"/>
      <c r="B8" s="163" t="s">
        <v>338</v>
      </c>
      <c r="C8" s="163"/>
      <c r="D8" s="163"/>
      <c r="E8" s="162" t="s">
        <v>339</v>
      </c>
      <c r="F8" s="162"/>
      <c r="G8" s="162"/>
      <c r="H8" s="162"/>
      <c r="I8" s="162"/>
      <c r="J8" s="162"/>
      <c r="K8" s="163"/>
    </row>
    <row r="9" spans="1:11">
      <c r="A9" s="160"/>
      <c r="B9" s="163"/>
      <c r="C9" s="163"/>
      <c r="D9" s="163"/>
      <c r="E9" s="164" t="s">
        <v>340</v>
      </c>
      <c r="F9" s="164"/>
      <c r="G9" s="164"/>
      <c r="H9" s="164" t="s">
        <v>341</v>
      </c>
      <c r="I9" s="164"/>
      <c r="J9" s="164"/>
      <c r="K9" s="163"/>
    </row>
    <row r="10" spans="1:11">
      <c r="A10" s="161"/>
      <c r="B10" s="140" t="s">
        <v>320</v>
      </c>
      <c r="C10" s="140" t="s">
        <v>321</v>
      </c>
      <c r="D10" s="141" t="s">
        <v>0</v>
      </c>
      <c r="E10" s="140" t="s">
        <v>320</v>
      </c>
      <c r="F10" s="140" t="s">
        <v>321</v>
      </c>
      <c r="G10" s="141" t="s">
        <v>0</v>
      </c>
      <c r="H10" s="140" t="s">
        <v>320</v>
      </c>
      <c r="I10" s="140" t="s">
        <v>321</v>
      </c>
      <c r="J10" s="141" t="s">
        <v>0</v>
      </c>
      <c r="K10" s="163"/>
    </row>
    <row r="11" spans="1:11">
      <c r="A11" s="39"/>
      <c r="B11" s="78"/>
      <c r="C11" s="40"/>
      <c r="D11" s="40"/>
      <c r="E11" s="40"/>
      <c r="F11" s="40"/>
      <c r="G11" s="40"/>
      <c r="H11" s="40"/>
      <c r="I11" s="40"/>
      <c r="J11" s="40"/>
      <c r="K11" s="41"/>
    </row>
    <row r="12" spans="1:11">
      <c r="A12" s="126" t="s">
        <v>0</v>
      </c>
      <c r="B12" s="7">
        <f t="shared" ref="B12:J12" si="0">SUM(B14:B141)</f>
        <v>56453</v>
      </c>
      <c r="C12" s="89">
        <f t="shared" si="0"/>
        <v>39000</v>
      </c>
      <c r="D12" s="89">
        <f t="shared" si="0"/>
        <v>95453</v>
      </c>
      <c r="E12" s="89">
        <f t="shared" si="0"/>
        <v>1648</v>
      </c>
      <c r="F12" s="89">
        <f t="shared" si="0"/>
        <v>2066</v>
      </c>
      <c r="G12" s="89">
        <f t="shared" si="0"/>
        <v>3714</v>
      </c>
      <c r="H12" s="89">
        <f t="shared" si="0"/>
        <v>3816</v>
      </c>
      <c r="I12" s="89">
        <f t="shared" si="0"/>
        <v>2815</v>
      </c>
      <c r="J12" s="89">
        <f t="shared" si="0"/>
        <v>6631</v>
      </c>
      <c r="K12" s="8">
        <f>D12+G12+J12</f>
        <v>105798</v>
      </c>
    </row>
    <row r="13" spans="1:11">
      <c r="A13" s="56"/>
      <c r="B13" s="5"/>
      <c r="C13" s="77"/>
      <c r="D13" s="77"/>
      <c r="E13" s="77"/>
      <c r="F13" s="77"/>
      <c r="G13" s="77"/>
      <c r="H13" s="77"/>
      <c r="I13" s="77"/>
      <c r="J13" s="77"/>
      <c r="K13" s="9"/>
    </row>
    <row r="14" spans="1:11">
      <c r="A14" s="56" t="s">
        <v>140</v>
      </c>
      <c r="B14" s="85">
        <v>0</v>
      </c>
      <c r="C14" s="80">
        <v>0</v>
      </c>
      <c r="D14" s="80">
        <v>0</v>
      </c>
      <c r="E14" s="80">
        <v>0</v>
      </c>
      <c r="F14" s="80">
        <v>1</v>
      </c>
      <c r="G14" s="80">
        <v>1</v>
      </c>
      <c r="H14" s="80">
        <v>0</v>
      </c>
      <c r="I14" s="80">
        <v>0</v>
      </c>
      <c r="J14" s="80">
        <v>0</v>
      </c>
      <c r="K14" s="142">
        <f t="shared" ref="K14:K45" si="1">D14+G14+J14</f>
        <v>1</v>
      </c>
    </row>
    <row r="15" spans="1:11">
      <c r="A15" s="56" t="s">
        <v>188</v>
      </c>
      <c r="B15" s="85">
        <v>0</v>
      </c>
      <c r="C15" s="80">
        <v>0</v>
      </c>
      <c r="D15" s="80">
        <v>0</v>
      </c>
      <c r="E15" s="80">
        <v>0</v>
      </c>
      <c r="F15" s="80">
        <v>0</v>
      </c>
      <c r="G15" s="80">
        <v>0</v>
      </c>
      <c r="H15" s="80">
        <v>1</v>
      </c>
      <c r="I15" s="80">
        <v>0</v>
      </c>
      <c r="J15" s="80">
        <v>1</v>
      </c>
      <c r="K15" s="142">
        <f t="shared" si="1"/>
        <v>1</v>
      </c>
    </row>
    <row r="16" spans="1:11">
      <c r="A16" s="56" t="s">
        <v>189</v>
      </c>
      <c r="B16" s="85">
        <v>129</v>
      </c>
      <c r="C16" s="80">
        <v>45</v>
      </c>
      <c r="D16" s="80">
        <v>174</v>
      </c>
      <c r="E16" s="80">
        <v>18</v>
      </c>
      <c r="F16" s="80">
        <v>8</v>
      </c>
      <c r="G16" s="80">
        <v>26</v>
      </c>
      <c r="H16" s="80">
        <v>222</v>
      </c>
      <c r="I16" s="80">
        <v>154</v>
      </c>
      <c r="J16" s="80">
        <v>376</v>
      </c>
      <c r="K16" s="142">
        <f t="shared" si="1"/>
        <v>576</v>
      </c>
    </row>
    <row r="17" spans="1:11">
      <c r="A17" s="56" t="s">
        <v>52</v>
      </c>
      <c r="B17" s="85">
        <v>2</v>
      </c>
      <c r="C17" s="80">
        <v>0</v>
      </c>
      <c r="D17" s="80">
        <v>2</v>
      </c>
      <c r="E17" s="80">
        <v>0</v>
      </c>
      <c r="F17" s="80">
        <v>0</v>
      </c>
      <c r="G17" s="80">
        <v>0</v>
      </c>
      <c r="H17" s="80">
        <v>0</v>
      </c>
      <c r="I17" s="80">
        <v>0</v>
      </c>
      <c r="J17" s="80">
        <v>0</v>
      </c>
      <c r="K17" s="142">
        <f t="shared" si="1"/>
        <v>2</v>
      </c>
    </row>
    <row r="18" spans="1:11">
      <c r="A18" s="56" t="s">
        <v>246</v>
      </c>
      <c r="B18" s="5">
        <f>6+37</f>
        <v>43</v>
      </c>
      <c r="C18" s="77">
        <f>6+57</f>
        <v>63</v>
      </c>
      <c r="D18" s="77">
        <f>12+94</f>
        <v>106</v>
      </c>
      <c r="E18" s="80">
        <v>0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142">
        <f t="shared" si="1"/>
        <v>106</v>
      </c>
    </row>
    <row r="19" spans="1:11">
      <c r="A19" s="56" t="s">
        <v>53</v>
      </c>
      <c r="B19" s="85">
        <v>0</v>
      </c>
      <c r="C19" s="80">
        <v>0</v>
      </c>
      <c r="D19" s="80">
        <v>0</v>
      </c>
      <c r="E19" s="80">
        <v>0</v>
      </c>
      <c r="F19" s="80">
        <v>0</v>
      </c>
      <c r="G19" s="80">
        <v>0</v>
      </c>
      <c r="H19" s="80">
        <v>3</v>
      </c>
      <c r="I19" s="80">
        <v>0</v>
      </c>
      <c r="J19" s="80">
        <v>3</v>
      </c>
      <c r="K19" s="142">
        <f t="shared" si="1"/>
        <v>3</v>
      </c>
    </row>
    <row r="20" spans="1:11">
      <c r="A20" s="56" t="s">
        <v>107</v>
      </c>
      <c r="B20" s="85">
        <v>52</v>
      </c>
      <c r="C20" s="80">
        <v>44</v>
      </c>
      <c r="D20" s="80">
        <v>96</v>
      </c>
      <c r="E20" s="80">
        <v>6</v>
      </c>
      <c r="F20" s="80">
        <v>8</v>
      </c>
      <c r="G20" s="80">
        <v>14</v>
      </c>
      <c r="H20" s="80">
        <v>79</v>
      </c>
      <c r="I20" s="80">
        <v>54</v>
      </c>
      <c r="J20" s="80">
        <v>133</v>
      </c>
      <c r="K20" s="142">
        <f t="shared" si="1"/>
        <v>243</v>
      </c>
    </row>
    <row r="21" spans="1:11">
      <c r="A21" s="56" t="s">
        <v>142</v>
      </c>
      <c r="B21" s="85">
        <v>0</v>
      </c>
      <c r="C21" s="80">
        <v>0</v>
      </c>
      <c r="D21" s="80">
        <v>0</v>
      </c>
      <c r="E21" s="80">
        <v>0</v>
      </c>
      <c r="F21" s="80">
        <v>0</v>
      </c>
      <c r="G21" s="80">
        <v>0</v>
      </c>
      <c r="H21" s="80">
        <v>0</v>
      </c>
      <c r="I21" s="80">
        <v>1</v>
      </c>
      <c r="J21" s="80">
        <v>1</v>
      </c>
      <c r="K21" s="142">
        <f t="shared" si="1"/>
        <v>1</v>
      </c>
    </row>
    <row r="22" spans="1:11">
      <c r="A22" s="56" t="s">
        <v>108</v>
      </c>
      <c r="B22" s="85">
        <v>0</v>
      </c>
      <c r="C22" s="80">
        <v>0</v>
      </c>
      <c r="D22" s="80">
        <v>0</v>
      </c>
      <c r="E22" s="80">
        <v>0</v>
      </c>
      <c r="F22" s="80">
        <v>0</v>
      </c>
      <c r="G22" s="80">
        <v>0</v>
      </c>
      <c r="H22" s="80">
        <v>1</v>
      </c>
      <c r="I22" s="80">
        <v>1</v>
      </c>
      <c r="J22" s="80">
        <v>2</v>
      </c>
      <c r="K22" s="142">
        <f t="shared" si="1"/>
        <v>2</v>
      </c>
    </row>
    <row r="23" spans="1:11">
      <c r="A23" s="56" t="s">
        <v>235</v>
      </c>
      <c r="B23" s="85">
        <v>5</v>
      </c>
      <c r="C23" s="80">
        <v>1</v>
      </c>
      <c r="D23" s="80">
        <v>6</v>
      </c>
      <c r="E23" s="80">
        <v>1</v>
      </c>
      <c r="F23" s="80">
        <v>1</v>
      </c>
      <c r="G23" s="80">
        <v>2</v>
      </c>
      <c r="H23" s="80">
        <v>18</v>
      </c>
      <c r="I23" s="80">
        <v>8</v>
      </c>
      <c r="J23" s="80">
        <v>26</v>
      </c>
      <c r="K23" s="142">
        <f t="shared" si="1"/>
        <v>34</v>
      </c>
    </row>
    <row r="24" spans="1:11">
      <c r="A24" s="56" t="s">
        <v>191</v>
      </c>
      <c r="B24" s="85">
        <v>4</v>
      </c>
      <c r="C24" s="80">
        <v>4</v>
      </c>
      <c r="D24" s="80">
        <v>8</v>
      </c>
      <c r="E24" s="80">
        <v>0</v>
      </c>
      <c r="F24" s="80">
        <v>1</v>
      </c>
      <c r="G24" s="80">
        <v>1</v>
      </c>
      <c r="H24" s="80">
        <v>23</v>
      </c>
      <c r="I24" s="80">
        <v>14</v>
      </c>
      <c r="J24" s="80">
        <v>37</v>
      </c>
      <c r="K24" s="142">
        <f t="shared" si="1"/>
        <v>46</v>
      </c>
    </row>
    <row r="25" spans="1:11">
      <c r="A25" s="56" t="s">
        <v>143</v>
      </c>
      <c r="B25" s="85">
        <v>0</v>
      </c>
      <c r="C25" s="80">
        <v>0</v>
      </c>
      <c r="D25" s="80">
        <v>0</v>
      </c>
      <c r="E25" s="80">
        <v>0</v>
      </c>
      <c r="F25" s="80">
        <v>0</v>
      </c>
      <c r="G25" s="80">
        <v>0</v>
      </c>
      <c r="H25" s="80">
        <v>0</v>
      </c>
      <c r="I25" s="80">
        <v>1</v>
      </c>
      <c r="J25" s="80">
        <v>1</v>
      </c>
      <c r="K25" s="142">
        <f t="shared" si="1"/>
        <v>1</v>
      </c>
    </row>
    <row r="26" spans="1:11">
      <c r="A26" s="56" t="s">
        <v>109</v>
      </c>
      <c r="B26" s="85">
        <v>1</v>
      </c>
      <c r="C26" s="80">
        <v>0</v>
      </c>
      <c r="D26" s="80">
        <v>1</v>
      </c>
      <c r="E26" s="80">
        <v>0</v>
      </c>
      <c r="F26" s="80">
        <v>0</v>
      </c>
      <c r="G26" s="80">
        <v>0</v>
      </c>
      <c r="H26" s="80">
        <v>0</v>
      </c>
      <c r="I26" s="80">
        <v>0</v>
      </c>
      <c r="J26" s="80">
        <v>0</v>
      </c>
      <c r="K26" s="142">
        <f t="shared" si="1"/>
        <v>1</v>
      </c>
    </row>
    <row r="27" spans="1:11">
      <c r="A27" s="56" t="s">
        <v>144</v>
      </c>
      <c r="B27" s="85">
        <v>0</v>
      </c>
      <c r="C27" s="80">
        <v>1</v>
      </c>
      <c r="D27" s="80">
        <v>1</v>
      </c>
      <c r="E27" s="80">
        <v>0</v>
      </c>
      <c r="F27" s="80">
        <v>0</v>
      </c>
      <c r="G27" s="80">
        <v>0</v>
      </c>
      <c r="H27" s="80">
        <v>0</v>
      </c>
      <c r="I27" s="80">
        <v>0</v>
      </c>
      <c r="J27" s="80">
        <v>0</v>
      </c>
      <c r="K27" s="142">
        <f t="shared" si="1"/>
        <v>1</v>
      </c>
    </row>
    <row r="28" spans="1:11">
      <c r="A28" s="56" t="s">
        <v>406</v>
      </c>
      <c r="B28" s="85">
        <v>1</v>
      </c>
      <c r="C28" s="80">
        <v>0</v>
      </c>
      <c r="D28" s="80">
        <v>1</v>
      </c>
      <c r="E28" s="80">
        <v>0</v>
      </c>
      <c r="F28" s="80">
        <v>0</v>
      </c>
      <c r="G28" s="80">
        <v>0</v>
      </c>
      <c r="H28" s="80">
        <v>0</v>
      </c>
      <c r="I28" s="80">
        <v>0</v>
      </c>
      <c r="J28" s="80">
        <v>0</v>
      </c>
      <c r="K28" s="142">
        <f t="shared" si="1"/>
        <v>1</v>
      </c>
    </row>
    <row r="29" spans="1:11">
      <c r="A29" s="56" t="s">
        <v>192</v>
      </c>
      <c r="B29" s="85">
        <v>2</v>
      </c>
      <c r="C29" s="80">
        <v>4</v>
      </c>
      <c r="D29" s="80">
        <v>6</v>
      </c>
      <c r="E29" s="80">
        <v>1</v>
      </c>
      <c r="F29" s="80">
        <v>1</v>
      </c>
      <c r="G29" s="80">
        <v>2</v>
      </c>
      <c r="H29" s="80">
        <v>22</v>
      </c>
      <c r="I29" s="80">
        <v>14</v>
      </c>
      <c r="J29" s="80">
        <v>36</v>
      </c>
      <c r="K29" s="142">
        <f t="shared" si="1"/>
        <v>44</v>
      </c>
    </row>
    <row r="30" spans="1:11">
      <c r="A30" s="56" t="s">
        <v>111</v>
      </c>
      <c r="B30" s="85">
        <v>5</v>
      </c>
      <c r="C30" s="80">
        <v>1</v>
      </c>
      <c r="D30" s="80">
        <v>6</v>
      </c>
      <c r="E30" s="80">
        <v>1</v>
      </c>
      <c r="F30" s="80">
        <v>1</v>
      </c>
      <c r="G30" s="80">
        <v>2</v>
      </c>
      <c r="H30" s="80">
        <v>1</v>
      </c>
      <c r="I30" s="80">
        <v>0</v>
      </c>
      <c r="J30" s="80">
        <v>1</v>
      </c>
      <c r="K30" s="142">
        <f t="shared" si="1"/>
        <v>9</v>
      </c>
    </row>
    <row r="31" spans="1:11">
      <c r="A31" s="56" t="s">
        <v>112</v>
      </c>
      <c r="B31" s="85">
        <v>0</v>
      </c>
      <c r="C31" s="80">
        <v>1</v>
      </c>
      <c r="D31" s="80">
        <v>1</v>
      </c>
      <c r="E31" s="80">
        <v>0</v>
      </c>
      <c r="F31" s="80">
        <v>0</v>
      </c>
      <c r="G31" s="80">
        <v>0</v>
      </c>
      <c r="H31" s="80">
        <v>1</v>
      </c>
      <c r="I31" s="80">
        <v>0</v>
      </c>
      <c r="J31" s="80">
        <v>1</v>
      </c>
      <c r="K31" s="142">
        <f t="shared" si="1"/>
        <v>2</v>
      </c>
    </row>
    <row r="32" spans="1:11">
      <c r="A32" s="56" t="s">
        <v>193</v>
      </c>
      <c r="B32" s="85">
        <v>2</v>
      </c>
      <c r="C32" s="80">
        <v>0</v>
      </c>
      <c r="D32" s="80">
        <v>2</v>
      </c>
      <c r="E32" s="80">
        <v>0</v>
      </c>
      <c r="F32" s="80">
        <v>0</v>
      </c>
      <c r="G32" s="80">
        <v>0</v>
      </c>
      <c r="H32" s="80">
        <v>2</v>
      </c>
      <c r="I32" s="80">
        <v>2</v>
      </c>
      <c r="J32" s="80">
        <v>4</v>
      </c>
      <c r="K32" s="142">
        <f t="shared" si="1"/>
        <v>6</v>
      </c>
    </row>
    <row r="33" spans="1:11">
      <c r="A33" s="56" t="s">
        <v>113</v>
      </c>
      <c r="B33" s="85">
        <v>12</v>
      </c>
      <c r="C33" s="80">
        <v>17</v>
      </c>
      <c r="D33" s="80">
        <v>29</v>
      </c>
      <c r="E33" s="80">
        <v>0</v>
      </c>
      <c r="F33" s="80">
        <v>1</v>
      </c>
      <c r="G33" s="80">
        <v>1</v>
      </c>
      <c r="H33" s="80">
        <v>1</v>
      </c>
      <c r="I33" s="80">
        <v>5</v>
      </c>
      <c r="J33" s="80">
        <v>6</v>
      </c>
      <c r="K33" s="142">
        <f t="shared" si="1"/>
        <v>36</v>
      </c>
    </row>
    <row r="34" spans="1:11">
      <c r="A34" s="56" t="s">
        <v>114</v>
      </c>
      <c r="B34" s="85">
        <v>14</v>
      </c>
      <c r="C34" s="80">
        <v>21</v>
      </c>
      <c r="D34" s="80">
        <v>35</v>
      </c>
      <c r="E34" s="80">
        <v>7</v>
      </c>
      <c r="F34" s="80">
        <v>4</v>
      </c>
      <c r="G34" s="80">
        <v>11</v>
      </c>
      <c r="H34" s="80">
        <v>56</v>
      </c>
      <c r="I34" s="80">
        <v>42</v>
      </c>
      <c r="J34" s="80">
        <v>98</v>
      </c>
      <c r="K34" s="142">
        <f t="shared" si="1"/>
        <v>144</v>
      </c>
    </row>
    <row r="35" spans="1:11">
      <c r="A35" s="56" t="s">
        <v>195</v>
      </c>
      <c r="B35" s="85">
        <v>0</v>
      </c>
      <c r="C35" s="80">
        <v>1</v>
      </c>
      <c r="D35" s="80">
        <v>1</v>
      </c>
      <c r="E35" s="80">
        <v>0</v>
      </c>
      <c r="F35" s="80">
        <v>0</v>
      </c>
      <c r="G35" s="80">
        <v>0</v>
      </c>
      <c r="H35" s="80">
        <v>1</v>
      </c>
      <c r="I35" s="80">
        <v>2</v>
      </c>
      <c r="J35" s="80">
        <v>3</v>
      </c>
      <c r="K35" s="142">
        <f t="shared" si="1"/>
        <v>4</v>
      </c>
    </row>
    <row r="36" spans="1:11">
      <c r="A36" s="56" t="s">
        <v>59</v>
      </c>
      <c r="B36" s="85">
        <v>1</v>
      </c>
      <c r="C36" s="80">
        <v>0</v>
      </c>
      <c r="D36" s="80">
        <v>1</v>
      </c>
      <c r="E36" s="80">
        <v>0</v>
      </c>
      <c r="F36" s="80">
        <v>0</v>
      </c>
      <c r="G36" s="80">
        <v>0</v>
      </c>
      <c r="H36" s="80">
        <v>0</v>
      </c>
      <c r="I36" s="80">
        <v>0</v>
      </c>
      <c r="J36" s="80">
        <v>0</v>
      </c>
      <c r="K36" s="142">
        <f t="shared" si="1"/>
        <v>1</v>
      </c>
    </row>
    <row r="37" spans="1:11">
      <c r="A37" s="56" t="s">
        <v>145</v>
      </c>
      <c r="B37" s="85">
        <v>0</v>
      </c>
      <c r="C37" s="80">
        <v>2</v>
      </c>
      <c r="D37" s="80">
        <v>2</v>
      </c>
      <c r="E37" s="80">
        <v>0</v>
      </c>
      <c r="F37" s="80">
        <v>0</v>
      </c>
      <c r="G37" s="80">
        <v>0</v>
      </c>
      <c r="H37" s="80">
        <v>0</v>
      </c>
      <c r="I37" s="80">
        <v>0</v>
      </c>
      <c r="J37" s="80">
        <v>0</v>
      </c>
      <c r="K37" s="142">
        <f t="shared" si="1"/>
        <v>2</v>
      </c>
    </row>
    <row r="38" spans="1:11">
      <c r="A38" s="56" t="s">
        <v>60</v>
      </c>
      <c r="B38" s="85">
        <v>1</v>
      </c>
      <c r="C38" s="80">
        <v>2</v>
      </c>
      <c r="D38" s="80">
        <v>3</v>
      </c>
      <c r="E38" s="80">
        <v>0</v>
      </c>
      <c r="F38" s="80">
        <v>0</v>
      </c>
      <c r="G38" s="80">
        <v>0</v>
      </c>
      <c r="H38" s="80">
        <v>0</v>
      </c>
      <c r="I38" s="80">
        <v>0</v>
      </c>
      <c r="J38" s="80">
        <v>0</v>
      </c>
      <c r="K38" s="142">
        <f t="shared" si="1"/>
        <v>3</v>
      </c>
    </row>
    <row r="39" spans="1:11">
      <c r="A39" s="56" t="s">
        <v>115</v>
      </c>
      <c r="B39" s="85">
        <v>19</v>
      </c>
      <c r="C39" s="80">
        <v>15</v>
      </c>
      <c r="D39" s="80">
        <v>34</v>
      </c>
      <c r="E39" s="80">
        <v>34</v>
      </c>
      <c r="F39" s="80">
        <v>23</v>
      </c>
      <c r="G39" s="80">
        <v>57</v>
      </c>
      <c r="H39" s="80">
        <v>572</v>
      </c>
      <c r="I39" s="80">
        <v>486</v>
      </c>
      <c r="J39" s="80">
        <v>1058</v>
      </c>
      <c r="K39" s="142">
        <f t="shared" si="1"/>
        <v>1149</v>
      </c>
    </row>
    <row r="40" spans="1:11">
      <c r="A40" s="56" t="s">
        <v>116</v>
      </c>
      <c r="B40" s="85">
        <v>19</v>
      </c>
      <c r="C40" s="80">
        <v>15</v>
      </c>
      <c r="D40" s="80">
        <v>34</v>
      </c>
      <c r="E40" s="80">
        <v>3</v>
      </c>
      <c r="F40" s="80">
        <v>1</v>
      </c>
      <c r="G40" s="80">
        <v>4</v>
      </c>
      <c r="H40" s="80">
        <v>49</v>
      </c>
      <c r="I40" s="80">
        <v>33</v>
      </c>
      <c r="J40" s="80">
        <v>82</v>
      </c>
      <c r="K40" s="142">
        <f t="shared" si="1"/>
        <v>120</v>
      </c>
    </row>
    <row r="41" spans="1:11">
      <c r="A41" s="56" t="s">
        <v>28</v>
      </c>
      <c r="B41" s="85">
        <v>1043</v>
      </c>
      <c r="C41" s="80">
        <v>599</v>
      </c>
      <c r="D41" s="80">
        <v>1642</v>
      </c>
      <c r="E41" s="80">
        <v>44</v>
      </c>
      <c r="F41" s="80">
        <v>37</v>
      </c>
      <c r="G41" s="80">
        <v>81</v>
      </c>
      <c r="H41" s="80">
        <v>135</v>
      </c>
      <c r="I41" s="80">
        <v>121</v>
      </c>
      <c r="J41" s="80">
        <v>256</v>
      </c>
      <c r="K41" s="142">
        <f t="shared" si="1"/>
        <v>1979</v>
      </c>
    </row>
    <row r="42" spans="1:11">
      <c r="A42" s="56" t="s">
        <v>196</v>
      </c>
      <c r="B42" s="85">
        <v>1</v>
      </c>
      <c r="C42" s="80">
        <v>0</v>
      </c>
      <c r="D42" s="80">
        <v>1</v>
      </c>
      <c r="E42" s="80">
        <v>1</v>
      </c>
      <c r="F42" s="80">
        <v>1</v>
      </c>
      <c r="G42" s="80">
        <v>2</v>
      </c>
      <c r="H42" s="80">
        <v>0</v>
      </c>
      <c r="I42" s="80">
        <v>0</v>
      </c>
      <c r="J42" s="80">
        <v>0</v>
      </c>
      <c r="K42" s="142">
        <f t="shared" si="1"/>
        <v>3</v>
      </c>
    </row>
    <row r="43" spans="1:11">
      <c r="A43" s="56" t="s">
        <v>30</v>
      </c>
      <c r="B43" s="85">
        <v>603</v>
      </c>
      <c r="C43" s="80">
        <v>507</v>
      </c>
      <c r="D43" s="80">
        <v>1110</v>
      </c>
      <c r="E43" s="80">
        <v>9</v>
      </c>
      <c r="F43" s="80">
        <v>10</v>
      </c>
      <c r="G43" s="80">
        <v>19</v>
      </c>
      <c r="H43" s="80">
        <v>19</v>
      </c>
      <c r="I43" s="80">
        <v>9</v>
      </c>
      <c r="J43" s="80">
        <v>28</v>
      </c>
      <c r="K43" s="142">
        <f t="shared" si="1"/>
        <v>1157</v>
      </c>
    </row>
    <row r="44" spans="1:11">
      <c r="A44" s="56" t="s">
        <v>197</v>
      </c>
      <c r="B44" s="85">
        <v>10</v>
      </c>
      <c r="C44" s="80">
        <v>1</v>
      </c>
      <c r="D44" s="80">
        <v>11</v>
      </c>
      <c r="E44" s="80">
        <v>0</v>
      </c>
      <c r="F44" s="80">
        <v>1</v>
      </c>
      <c r="G44" s="80">
        <v>1</v>
      </c>
      <c r="H44" s="80">
        <v>0</v>
      </c>
      <c r="I44" s="80">
        <v>1</v>
      </c>
      <c r="J44" s="80">
        <v>1</v>
      </c>
      <c r="K44" s="142">
        <f t="shared" si="1"/>
        <v>13</v>
      </c>
    </row>
    <row r="45" spans="1:11">
      <c r="A45" s="56" t="s">
        <v>118</v>
      </c>
      <c r="B45" s="85">
        <v>0</v>
      </c>
      <c r="C45" s="80">
        <v>0</v>
      </c>
      <c r="D45" s="80">
        <v>0</v>
      </c>
      <c r="E45" s="80">
        <v>0</v>
      </c>
      <c r="F45" s="80">
        <v>0</v>
      </c>
      <c r="G45" s="80">
        <v>0</v>
      </c>
      <c r="H45" s="80">
        <v>1</v>
      </c>
      <c r="I45" s="80">
        <v>0</v>
      </c>
      <c r="J45" s="80">
        <v>1</v>
      </c>
      <c r="K45" s="142">
        <f t="shared" si="1"/>
        <v>1</v>
      </c>
    </row>
    <row r="46" spans="1:11">
      <c r="A46" s="56" t="s">
        <v>31</v>
      </c>
      <c r="B46" s="85">
        <v>117</v>
      </c>
      <c r="C46" s="80">
        <v>60</v>
      </c>
      <c r="D46" s="80">
        <v>177</v>
      </c>
      <c r="E46" s="80">
        <v>2</v>
      </c>
      <c r="F46" s="80">
        <v>1</v>
      </c>
      <c r="G46" s="80">
        <v>3</v>
      </c>
      <c r="H46" s="80">
        <v>33</v>
      </c>
      <c r="I46" s="80">
        <v>21</v>
      </c>
      <c r="J46" s="80">
        <v>54</v>
      </c>
      <c r="K46" s="142">
        <f t="shared" ref="K46:K77" si="2">D46+G46+J46</f>
        <v>234</v>
      </c>
    </row>
    <row r="47" spans="1:11">
      <c r="A47" s="56" t="s">
        <v>32</v>
      </c>
      <c r="B47" s="85">
        <v>274</v>
      </c>
      <c r="C47" s="80">
        <v>220</v>
      </c>
      <c r="D47" s="80">
        <v>494</v>
      </c>
      <c r="E47" s="80">
        <v>27</v>
      </c>
      <c r="F47" s="80">
        <v>28</v>
      </c>
      <c r="G47" s="80">
        <v>55</v>
      </c>
      <c r="H47" s="80">
        <v>54</v>
      </c>
      <c r="I47" s="80">
        <v>35</v>
      </c>
      <c r="J47" s="80">
        <v>89</v>
      </c>
      <c r="K47" s="142">
        <f t="shared" si="2"/>
        <v>638</v>
      </c>
    </row>
    <row r="48" spans="1:11">
      <c r="A48" s="56" t="s">
        <v>148</v>
      </c>
      <c r="B48" s="85">
        <v>0</v>
      </c>
      <c r="C48" s="80">
        <v>0</v>
      </c>
      <c r="D48" s="80">
        <v>0</v>
      </c>
      <c r="E48" s="80">
        <v>0</v>
      </c>
      <c r="F48" s="80">
        <v>0</v>
      </c>
      <c r="G48" s="80">
        <v>0</v>
      </c>
      <c r="H48" s="80">
        <v>0</v>
      </c>
      <c r="I48" s="80">
        <v>1</v>
      </c>
      <c r="J48" s="80">
        <v>1</v>
      </c>
      <c r="K48" s="142">
        <f t="shared" si="2"/>
        <v>1</v>
      </c>
    </row>
    <row r="49" spans="1:11">
      <c r="A49" s="56" t="s">
        <v>198</v>
      </c>
      <c r="B49" s="85">
        <v>1</v>
      </c>
      <c r="C49" s="80">
        <v>0</v>
      </c>
      <c r="D49" s="80">
        <v>1</v>
      </c>
      <c r="E49" s="80">
        <v>0</v>
      </c>
      <c r="F49" s="80">
        <v>0</v>
      </c>
      <c r="G49" s="80">
        <v>0</v>
      </c>
      <c r="H49" s="80">
        <v>3</v>
      </c>
      <c r="I49" s="80">
        <v>1</v>
      </c>
      <c r="J49" s="80">
        <v>4</v>
      </c>
      <c r="K49" s="142">
        <f t="shared" si="2"/>
        <v>5</v>
      </c>
    </row>
    <row r="50" spans="1:11">
      <c r="A50" s="56" t="s">
        <v>200</v>
      </c>
      <c r="B50" s="85">
        <v>52</v>
      </c>
      <c r="C50" s="80">
        <v>28</v>
      </c>
      <c r="D50" s="80">
        <v>80</v>
      </c>
      <c r="E50" s="80">
        <v>3</v>
      </c>
      <c r="F50" s="80">
        <v>5</v>
      </c>
      <c r="G50" s="80">
        <v>8</v>
      </c>
      <c r="H50" s="80">
        <v>94</v>
      </c>
      <c r="I50" s="80">
        <v>53</v>
      </c>
      <c r="J50" s="80">
        <v>147</v>
      </c>
      <c r="K50" s="142">
        <f t="shared" si="2"/>
        <v>235</v>
      </c>
    </row>
    <row r="51" spans="1:11">
      <c r="A51" s="56" t="s">
        <v>26</v>
      </c>
      <c r="B51" s="85">
        <v>141</v>
      </c>
      <c r="C51" s="80">
        <v>95</v>
      </c>
      <c r="D51" s="80">
        <v>236</v>
      </c>
      <c r="E51" s="80">
        <v>101</v>
      </c>
      <c r="F51" s="80">
        <v>64</v>
      </c>
      <c r="G51" s="80">
        <v>165</v>
      </c>
      <c r="H51" s="80">
        <v>1260</v>
      </c>
      <c r="I51" s="80">
        <v>907</v>
      </c>
      <c r="J51" s="80">
        <v>2167</v>
      </c>
      <c r="K51" s="142">
        <f t="shared" si="2"/>
        <v>2568</v>
      </c>
    </row>
    <row r="52" spans="1:11">
      <c r="A52" s="56" t="s">
        <v>407</v>
      </c>
      <c r="B52" s="85">
        <v>0</v>
      </c>
      <c r="C52" s="80">
        <v>1</v>
      </c>
      <c r="D52" s="80">
        <v>1</v>
      </c>
      <c r="E52" s="80">
        <v>0</v>
      </c>
      <c r="F52" s="80">
        <v>0</v>
      </c>
      <c r="G52" s="80">
        <v>0</v>
      </c>
      <c r="H52" s="80">
        <v>0</v>
      </c>
      <c r="I52" s="80">
        <v>0</v>
      </c>
      <c r="J52" s="80">
        <v>0</v>
      </c>
      <c r="K52" s="142">
        <f t="shared" si="2"/>
        <v>1</v>
      </c>
    </row>
    <row r="53" spans="1:11">
      <c r="A53" s="56" t="s">
        <v>201</v>
      </c>
      <c r="B53" s="85">
        <v>1</v>
      </c>
      <c r="C53" s="80">
        <v>1</v>
      </c>
      <c r="D53" s="80">
        <v>2</v>
      </c>
      <c r="E53" s="80">
        <v>0</v>
      </c>
      <c r="F53" s="80">
        <v>0</v>
      </c>
      <c r="G53" s="80">
        <v>0</v>
      </c>
      <c r="H53" s="80">
        <v>6</v>
      </c>
      <c r="I53" s="80">
        <v>0</v>
      </c>
      <c r="J53" s="80">
        <v>6</v>
      </c>
      <c r="K53" s="142">
        <f t="shared" si="2"/>
        <v>8</v>
      </c>
    </row>
    <row r="54" spans="1:11">
      <c r="A54" s="56" t="s">
        <v>202</v>
      </c>
      <c r="B54" s="85">
        <v>199</v>
      </c>
      <c r="C54" s="80">
        <v>163</v>
      </c>
      <c r="D54" s="80">
        <v>362</v>
      </c>
      <c r="E54" s="80">
        <v>8</v>
      </c>
      <c r="F54" s="80">
        <v>14</v>
      </c>
      <c r="G54" s="80">
        <v>22</v>
      </c>
      <c r="H54" s="80">
        <v>20</v>
      </c>
      <c r="I54" s="80">
        <v>18</v>
      </c>
      <c r="J54" s="80">
        <v>38</v>
      </c>
      <c r="K54" s="142">
        <f t="shared" si="2"/>
        <v>422</v>
      </c>
    </row>
    <row r="55" spans="1:11">
      <c r="A55" s="56" t="s">
        <v>149</v>
      </c>
      <c r="B55" s="85">
        <v>11</v>
      </c>
      <c r="C55" s="80">
        <v>23</v>
      </c>
      <c r="D55" s="80">
        <v>34</v>
      </c>
      <c r="E55" s="80">
        <v>1</v>
      </c>
      <c r="F55" s="80">
        <v>1</v>
      </c>
      <c r="G55" s="80">
        <v>2</v>
      </c>
      <c r="H55" s="80">
        <v>11</v>
      </c>
      <c r="I55" s="80">
        <v>21</v>
      </c>
      <c r="J55" s="80">
        <v>32</v>
      </c>
      <c r="K55" s="142">
        <f t="shared" si="2"/>
        <v>68</v>
      </c>
    </row>
    <row r="56" spans="1:11">
      <c r="A56" s="56" t="s">
        <v>203</v>
      </c>
      <c r="B56" s="85">
        <v>12</v>
      </c>
      <c r="C56" s="80">
        <v>3</v>
      </c>
      <c r="D56" s="80">
        <v>15</v>
      </c>
      <c r="E56" s="80">
        <v>0</v>
      </c>
      <c r="F56" s="80">
        <v>0</v>
      </c>
      <c r="G56" s="80">
        <v>0</v>
      </c>
      <c r="H56" s="80">
        <v>6</v>
      </c>
      <c r="I56" s="80">
        <v>0</v>
      </c>
      <c r="J56" s="80">
        <v>6</v>
      </c>
      <c r="K56" s="142">
        <f t="shared" si="2"/>
        <v>21</v>
      </c>
    </row>
    <row r="57" spans="1:11">
      <c r="A57" s="56" t="s">
        <v>204</v>
      </c>
      <c r="B57" s="85">
        <v>61</v>
      </c>
      <c r="C57" s="80">
        <v>28</v>
      </c>
      <c r="D57" s="80">
        <v>89</v>
      </c>
      <c r="E57" s="80">
        <v>8</v>
      </c>
      <c r="F57" s="80">
        <v>7</v>
      </c>
      <c r="G57" s="80">
        <v>15</v>
      </c>
      <c r="H57" s="80">
        <v>114</v>
      </c>
      <c r="I57" s="80">
        <v>71</v>
      </c>
      <c r="J57" s="80">
        <v>185</v>
      </c>
      <c r="K57" s="142">
        <f t="shared" si="2"/>
        <v>289</v>
      </c>
    </row>
    <row r="58" spans="1:11">
      <c r="A58" s="56" t="s">
        <v>66</v>
      </c>
      <c r="B58" s="85">
        <v>3</v>
      </c>
      <c r="C58" s="80">
        <v>1</v>
      </c>
      <c r="D58" s="80">
        <v>4</v>
      </c>
      <c r="E58" s="80">
        <v>0</v>
      </c>
      <c r="F58" s="80">
        <v>0</v>
      </c>
      <c r="G58" s="80">
        <v>0</v>
      </c>
      <c r="H58" s="80">
        <v>1</v>
      </c>
      <c r="I58" s="80">
        <v>0</v>
      </c>
      <c r="J58" s="80">
        <v>1</v>
      </c>
      <c r="K58" s="142">
        <f t="shared" si="2"/>
        <v>5</v>
      </c>
    </row>
    <row r="59" spans="1:11">
      <c r="A59" s="56" t="s">
        <v>67</v>
      </c>
      <c r="B59" s="85">
        <v>0</v>
      </c>
      <c r="C59" s="80">
        <v>0</v>
      </c>
      <c r="D59" s="80">
        <v>0</v>
      </c>
      <c r="E59" s="80">
        <v>0</v>
      </c>
      <c r="F59" s="80">
        <v>0</v>
      </c>
      <c r="G59" s="80">
        <v>0</v>
      </c>
      <c r="H59" s="80">
        <v>0</v>
      </c>
      <c r="I59" s="80">
        <v>0</v>
      </c>
      <c r="J59" s="80">
        <v>0</v>
      </c>
      <c r="K59" s="142">
        <f t="shared" si="2"/>
        <v>0</v>
      </c>
    </row>
    <row r="60" spans="1:11">
      <c r="A60" s="56" t="s">
        <v>150</v>
      </c>
      <c r="B60" s="85">
        <v>1</v>
      </c>
      <c r="C60" s="80">
        <v>0</v>
      </c>
      <c r="D60" s="80">
        <v>1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142">
        <f t="shared" si="2"/>
        <v>1</v>
      </c>
    </row>
    <row r="61" spans="1:11">
      <c r="A61" s="56" t="s">
        <v>121</v>
      </c>
      <c r="B61" s="85">
        <v>69</v>
      </c>
      <c r="C61" s="80">
        <v>56</v>
      </c>
      <c r="D61" s="80">
        <v>125</v>
      </c>
      <c r="E61" s="80">
        <v>5</v>
      </c>
      <c r="F61" s="80">
        <v>7</v>
      </c>
      <c r="G61" s="80">
        <v>12</v>
      </c>
      <c r="H61" s="80">
        <v>65</v>
      </c>
      <c r="I61" s="80">
        <v>39</v>
      </c>
      <c r="J61" s="80">
        <v>104</v>
      </c>
      <c r="K61" s="142">
        <f t="shared" si="2"/>
        <v>241</v>
      </c>
    </row>
    <row r="62" spans="1:11">
      <c r="A62" s="56" t="s">
        <v>353</v>
      </c>
      <c r="B62" s="85">
        <v>0</v>
      </c>
      <c r="C62" s="80">
        <v>1</v>
      </c>
      <c r="D62" s="80">
        <v>1</v>
      </c>
      <c r="E62" s="80">
        <v>0</v>
      </c>
      <c r="F62" s="80">
        <v>0</v>
      </c>
      <c r="G62" s="80">
        <v>0</v>
      </c>
      <c r="H62" s="80">
        <v>0</v>
      </c>
      <c r="I62" s="80">
        <v>0</v>
      </c>
      <c r="J62" s="80">
        <v>0</v>
      </c>
      <c r="K62" s="142">
        <f t="shared" si="2"/>
        <v>1</v>
      </c>
    </row>
    <row r="63" spans="1:11">
      <c r="A63" s="56" t="s">
        <v>123</v>
      </c>
      <c r="B63" s="85">
        <v>56</v>
      </c>
      <c r="C63" s="80">
        <v>32</v>
      </c>
      <c r="D63" s="80">
        <v>88</v>
      </c>
      <c r="E63" s="80">
        <v>5</v>
      </c>
      <c r="F63" s="80">
        <v>0</v>
      </c>
      <c r="G63" s="80">
        <v>5</v>
      </c>
      <c r="H63" s="80">
        <v>2</v>
      </c>
      <c r="I63" s="80">
        <v>1</v>
      </c>
      <c r="J63" s="80">
        <v>3</v>
      </c>
      <c r="K63" s="142">
        <f t="shared" si="2"/>
        <v>96</v>
      </c>
    </row>
    <row r="64" spans="1:11">
      <c r="A64" s="56" t="s">
        <v>124</v>
      </c>
      <c r="B64" s="85">
        <v>267</v>
      </c>
      <c r="C64" s="80">
        <v>246</v>
      </c>
      <c r="D64" s="80">
        <v>513</v>
      </c>
      <c r="E64" s="80">
        <v>23</v>
      </c>
      <c r="F64" s="80">
        <v>29</v>
      </c>
      <c r="G64" s="80">
        <v>52</v>
      </c>
      <c r="H64" s="80">
        <v>24</v>
      </c>
      <c r="I64" s="80">
        <v>24</v>
      </c>
      <c r="J64" s="80">
        <v>48</v>
      </c>
      <c r="K64" s="142">
        <f t="shared" si="2"/>
        <v>613</v>
      </c>
    </row>
    <row r="65" spans="1:11">
      <c r="A65" s="56" t="s">
        <v>151</v>
      </c>
      <c r="B65" s="85">
        <v>0</v>
      </c>
      <c r="C65" s="80">
        <v>0</v>
      </c>
      <c r="D65" s="80">
        <v>0</v>
      </c>
      <c r="E65" s="80">
        <v>0</v>
      </c>
      <c r="F65" s="80">
        <v>1</v>
      </c>
      <c r="G65" s="80">
        <v>1</v>
      </c>
      <c r="H65" s="80">
        <v>1</v>
      </c>
      <c r="I65" s="80">
        <v>0</v>
      </c>
      <c r="J65" s="80">
        <v>1</v>
      </c>
      <c r="K65" s="142">
        <f t="shared" si="2"/>
        <v>2</v>
      </c>
    </row>
    <row r="66" spans="1:11">
      <c r="A66" s="56" t="s">
        <v>206</v>
      </c>
      <c r="B66" s="85">
        <v>4</v>
      </c>
      <c r="C66" s="80">
        <v>1</v>
      </c>
      <c r="D66" s="80">
        <v>5</v>
      </c>
      <c r="E66" s="80">
        <v>1</v>
      </c>
      <c r="F66" s="80">
        <v>0</v>
      </c>
      <c r="G66" s="80">
        <v>1</v>
      </c>
      <c r="H66" s="80">
        <v>9</v>
      </c>
      <c r="I66" s="80">
        <v>5</v>
      </c>
      <c r="J66" s="80">
        <v>14</v>
      </c>
      <c r="K66" s="142">
        <f t="shared" si="2"/>
        <v>20</v>
      </c>
    </row>
    <row r="67" spans="1:11">
      <c r="A67" s="56" t="s">
        <v>33</v>
      </c>
      <c r="B67" s="85">
        <v>15</v>
      </c>
      <c r="C67" s="80">
        <v>16</v>
      </c>
      <c r="D67" s="80">
        <v>31</v>
      </c>
      <c r="E67" s="80">
        <v>2</v>
      </c>
      <c r="F67" s="80">
        <v>0</v>
      </c>
      <c r="G67" s="80">
        <v>2</v>
      </c>
      <c r="H67" s="80">
        <v>71</v>
      </c>
      <c r="I67" s="80">
        <v>35</v>
      </c>
      <c r="J67" s="80">
        <v>106</v>
      </c>
      <c r="K67" s="142">
        <f t="shared" si="2"/>
        <v>139</v>
      </c>
    </row>
    <row r="68" spans="1:11">
      <c r="A68" s="56" t="s">
        <v>152</v>
      </c>
      <c r="B68" s="85">
        <v>2</v>
      </c>
      <c r="C68" s="80">
        <v>1</v>
      </c>
      <c r="D68" s="80">
        <v>3</v>
      </c>
      <c r="E68" s="80">
        <v>0</v>
      </c>
      <c r="F68" s="80">
        <v>0</v>
      </c>
      <c r="G68" s="80">
        <v>0</v>
      </c>
      <c r="H68" s="80">
        <v>1</v>
      </c>
      <c r="I68" s="80">
        <v>0</v>
      </c>
      <c r="J68" s="80">
        <v>1</v>
      </c>
      <c r="K68" s="142">
        <f t="shared" si="2"/>
        <v>4</v>
      </c>
    </row>
    <row r="69" spans="1:11">
      <c r="A69" s="56" t="s">
        <v>153</v>
      </c>
      <c r="B69" s="85">
        <v>3</v>
      </c>
      <c r="C69" s="80">
        <v>0</v>
      </c>
      <c r="D69" s="80">
        <v>3</v>
      </c>
      <c r="E69" s="80">
        <v>1</v>
      </c>
      <c r="F69" s="80">
        <v>1</v>
      </c>
      <c r="G69" s="80">
        <v>2</v>
      </c>
      <c r="H69" s="80">
        <v>2</v>
      </c>
      <c r="I69" s="80">
        <v>1</v>
      </c>
      <c r="J69" s="80">
        <v>3</v>
      </c>
      <c r="K69" s="142">
        <f t="shared" si="2"/>
        <v>8</v>
      </c>
    </row>
    <row r="70" spans="1:11">
      <c r="A70" s="56" t="s">
        <v>207</v>
      </c>
      <c r="B70" s="85">
        <v>1</v>
      </c>
      <c r="C70" s="80">
        <v>0</v>
      </c>
      <c r="D70" s="80">
        <v>1</v>
      </c>
      <c r="E70" s="80">
        <v>1</v>
      </c>
      <c r="F70" s="80">
        <v>0</v>
      </c>
      <c r="G70" s="80">
        <v>1</v>
      </c>
      <c r="H70" s="80">
        <v>6</v>
      </c>
      <c r="I70" s="80">
        <v>3</v>
      </c>
      <c r="J70" s="80">
        <v>9</v>
      </c>
      <c r="K70" s="142">
        <f t="shared" si="2"/>
        <v>11</v>
      </c>
    </row>
    <row r="71" spans="1:11">
      <c r="A71" s="56" t="s">
        <v>408</v>
      </c>
      <c r="B71" s="85">
        <v>2</v>
      </c>
      <c r="C71" s="80">
        <v>0</v>
      </c>
      <c r="D71" s="80">
        <v>2</v>
      </c>
      <c r="E71" s="80">
        <v>0</v>
      </c>
      <c r="F71" s="80">
        <v>0</v>
      </c>
      <c r="G71" s="80">
        <v>0</v>
      </c>
      <c r="H71" s="80">
        <v>1</v>
      </c>
      <c r="I71" s="80">
        <v>1</v>
      </c>
      <c r="J71" s="80">
        <v>2</v>
      </c>
      <c r="K71" s="142">
        <f t="shared" si="2"/>
        <v>4</v>
      </c>
    </row>
    <row r="72" spans="1:11">
      <c r="A72" s="56" t="s">
        <v>155</v>
      </c>
      <c r="B72" s="85">
        <v>7</v>
      </c>
      <c r="C72" s="80">
        <v>1</v>
      </c>
      <c r="D72" s="80">
        <v>8</v>
      </c>
      <c r="E72" s="80">
        <v>9</v>
      </c>
      <c r="F72" s="80">
        <v>2</v>
      </c>
      <c r="G72" s="80">
        <v>11</v>
      </c>
      <c r="H72" s="80">
        <v>44</v>
      </c>
      <c r="I72" s="80">
        <v>25</v>
      </c>
      <c r="J72" s="80">
        <v>69</v>
      </c>
      <c r="K72" s="142">
        <f t="shared" si="2"/>
        <v>88</v>
      </c>
    </row>
    <row r="73" spans="1:11">
      <c r="A73" s="56" t="s">
        <v>209</v>
      </c>
      <c r="B73" s="85">
        <v>67</v>
      </c>
      <c r="C73" s="80">
        <v>21</v>
      </c>
      <c r="D73" s="80">
        <v>88</v>
      </c>
      <c r="E73" s="80">
        <v>3</v>
      </c>
      <c r="F73" s="80">
        <v>3</v>
      </c>
      <c r="G73" s="80">
        <v>6</v>
      </c>
      <c r="H73" s="80">
        <v>52</v>
      </c>
      <c r="I73" s="80">
        <v>36</v>
      </c>
      <c r="J73" s="80">
        <v>88</v>
      </c>
      <c r="K73" s="142">
        <f t="shared" si="2"/>
        <v>182</v>
      </c>
    </row>
    <row r="74" spans="1:11">
      <c r="A74" s="56" t="s">
        <v>126</v>
      </c>
      <c r="B74" s="85">
        <v>25</v>
      </c>
      <c r="C74" s="80">
        <v>4</v>
      </c>
      <c r="D74" s="80">
        <v>29</v>
      </c>
      <c r="E74" s="80">
        <v>5</v>
      </c>
      <c r="F74" s="80">
        <v>1</v>
      </c>
      <c r="G74" s="80">
        <v>6</v>
      </c>
      <c r="H74" s="80">
        <v>0</v>
      </c>
      <c r="I74" s="80">
        <v>1</v>
      </c>
      <c r="J74" s="80">
        <v>1</v>
      </c>
      <c r="K74" s="142">
        <f t="shared" si="2"/>
        <v>36</v>
      </c>
    </row>
    <row r="75" spans="1:11">
      <c r="A75" s="56" t="s">
        <v>156</v>
      </c>
      <c r="B75" s="85">
        <v>13</v>
      </c>
      <c r="C75" s="80">
        <v>1</v>
      </c>
      <c r="D75" s="80">
        <v>14</v>
      </c>
      <c r="E75" s="80">
        <v>1</v>
      </c>
      <c r="F75" s="80">
        <v>0</v>
      </c>
      <c r="G75" s="80">
        <v>1</v>
      </c>
      <c r="H75" s="80">
        <v>6</v>
      </c>
      <c r="I75" s="80">
        <v>7</v>
      </c>
      <c r="J75" s="80">
        <v>13</v>
      </c>
      <c r="K75" s="142">
        <f t="shared" si="2"/>
        <v>28</v>
      </c>
    </row>
    <row r="76" spans="1:11">
      <c r="A76" s="56" t="s">
        <v>157</v>
      </c>
      <c r="B76" s="85">
        <v>1</v>
      </c>
      <c r="C76" s="80">
        <v>2</v>
      </c>
      <c r="D76" s="80">
        <v>3</v>
      </c>
      <c r="E76" s="80">
        <v>0</v>
      </c>
      <c r="F76" s="80">
        <v>0</v>
      </c>
      <c r="G76" s="80">
        <v>0</v>
      </c>
      <c r="H76" s="80">
        <v>0</v>
      </c>
      <c r="I76" s="80">
        <v>0</v>
      </c>
      <c r="J76" s="80">
        <v>0</v>
      </c>
      <c r="K76" s="142">
        <f t="shared" si="2"/>
        <v>3</v>
      </c>
    </row>
    <row r="77" spans="1:11">
      <c r="A77" s="56" t="s">
        <v>158</v>
      </c>
      <c r="B77" s="85">
        <v>6</v>
      </c>
      <c r="C77" s="80">
        <v>3</v>
      </c>
      <c r="D77" s="80">
        <v>9</v>
      </c>
      <c r="E77" s="80">
        <v>0</v>
      </c>
      <c r="F77" s="80">
        <v>0</v>
      </c>
      <c r="G77" s="80">
        <v>0</v>
      </c>
      <c r="H77" s="80">
        <v>0</v>
      </c>
      <c r="I77" s="80">
        <v>0</v>
      </c>
      <c r="J77" s="80">
        <v>0</v>
      </c>
      <c r="K77" s="142">
        <f t="shared" si="2"/>
        <v>9</v>
      </c>
    </row>
    <row r="78" spans="1:11">
      <c r="A78" s="56" t="s">
        <v>70</v>
      </c>
      <c r="B78" s="85">
        <v>2</v>
      </c>
      <c r="C78" s="80">
        <v>2</v>
      </c>
      <c r="D78" s="80">
        <v>4</v>
      </c>
      <c r="E78" s="80">
        <v>0</v>
      </c>
      <c r="F78" s="80">
        <v>0</v>
      </c>
      <c r="G78" s="80">
        <v>0</v>
      </c>
      <c r="H78" s="80">
        <v>0</v>
      </c>
      <c r="I78" s="80">
        <v>0</v>
      </c>
      <c r="J78" s="80">
        <v>0</v>
      </c>
      <c r="K78" s="142">
        <f t="shared" ref="K78:K109" si="3">D78+G78+J78</f>
        <v>4</v>
      </c>
    </row>
    <row r="79" spans="1:11">
      <c r="A79" s="56" t="s">
        <v>409</v>
      </c>
      <c r="B79" s="85">
        <v>1</v>
      </c>
      <c r="C79" s="80">
        <v>0</v>
      </c>
      <c r="D79" s="80">
        <v>1</v>
      </c>
      <c r="E79" s="80">
        <v>0</v>
      </c>
      <c r="F79" s="80">
        <v>0</v>
      </c>
      <c r="G79" s="80">
        <v>0</v>
      </c>
      <c r="H79" s="80">
        <v>0</v>
      </c>
      <c r="I79" s="80">
        <v>0</v>
      </c>
      <c r="J79" s="80">
        <v>0</v>
      </c>
      <c r="K79" s="142">
        <f t="shared" si="3"/>
        <v>1</v>
      </c>
    </row>
    <row r="80" spans="1:11">
      <c r="A80" s="56" t="s">
        <v>210</v>
      </c>
      <c r="B80" s="85">
        <v>1</v>
      </c>
      <c r="C80" s="80">
        <v>1</v>
      </c>
      <c r="D80" s="80">
        <v>2</v>
      </c>
      <c r="E80" s="80">
        <v>0</v>
      </c>
      <c r="F80" s="80">
        <v>0</v>
      </c>
      <c r="G80" s="80">
        <v>0</v>
      </c>
      <c r="H80" s="80">
        <v>0</v>
      </c>
      <c r="I80" s="80">
        <v>1</v>
      </c>
      <c r="J80" s="80">
        <v>1</v>
      </c>
      <c r="K80" s="142">
        <f t="shared" si="3"/>
        <v>3</v>
      </c>
    </row>
    <row r="81" spans="1:11">
      <c r="A81" s="56" t="s">
        <v>161</v>
      </c>
      <c r="B81" s="85">
        <v>2</v>
      </c>
      <c r="C81" s="80">
        <v>0</v>
      </c>
      <c r="D81" s="80">
        <v>2</v>
      </c>
      <c r="E81" s="80">
        <v>0</v>
      </c>
      <c r="F81" s="80">
        <v>0</v>
      </c>
      <c r="G81" s="80">
        <v>0</v>
      </c>
      <c r="H81" s="80">
        <v>3</v>
      </c>
      <c r="I81" s="80">
        <v>0</v>
      </c>
      <c r="J81" s="80">
        <v>3</v>
      </c>
      <c r="K81" s="142">
        <f t="shared" si="3"/>
        <v>5</v>
      </c>
    </row>
    <row r="82" spans="1:11">
      <c r="A82" s="56" t="s">
        <v>73</v>
      </c>
      <c r="B82" s="85">
        <v>0</v>
      </c>
      <c r="C82" s="80">
        <v>0</v>
      </c>
      <c r="D82" s="80">
        <v>0</v>
      </c>
      <c r="E82" s="80">
        <v>0</v>
      </c>
      <c r="F82" s="80">
        <v>0</v>
      </c>
      <c r="G82" s="80">
        <v>0</v>
      </c>
      <c r="H82" s="80">
        <v>1</v>
      </c>
      <c r="I82" s="80">
        <v>0</v>
      </c>
      <c r="J82" s="80">
        <v>1</v>
      </c>
      <c r="K82" s="142">
        <f t="shared" si="3"/>
        <v>1</v>
      </c>
    </row>
    <row r="83" spans="1:11">
      <c r="A83" s="56" t="s">
        <v>212</v>
      </c>
      <c r="B83" s="85">
        <v>0</v>
      </c>
      <c r="C83" s="80">
        <v>0</v>
      </c>
      <c r="D83" s="80">
        <v>0</v>
      </c>
      <c r="E83" s="80">
        <v>0</v>
      </c>
      <c r="F83" s="80">
        <v>0</v>
      </c>
      <c r="G83" s="80">
        <v>0</v>
      </c>
      <c r="H83" s="80">
        <v>1</v>
      </c>
      <c r="I83" s="80">
        <v>0</v>
      </c>
      <c r="J83" s="80">
        <v>1</v>
      </c>
      <c r="K83" s="142">
        <f t="shared" si="3"/>
        <v>1</v>
      </c>
    </row>
    <row r="84" spans="1:11">
      <c r="A84" s="56" t="s">
        <v>214</v>
      </c>
      <c r="B84" s="85">
        <v>1</v>
      </c>
      <c r="C84" s="80">
        <v>0</v>
      </c>
      <c r="D84" s="80">
        <v>1</v>
      </c>
      <c r="E84" s="80">
        <v>0</v>
      </c>
      <c r="F84" s="80">
        <v>1</v>
      </c>
      <c r="G84" s="80">
        <v>1</v>
      </c>
      <c r="H84" s="80">
        <v>0</v>
      </c>
      <c r="I84" s="80">
        <v>0</v>
      </c>
      <c r="J84" s="80">
        <v>0</v>
      </c>
      <c r="K84" s="142">
        <f t="shared" si="3"/>
        <v>2</v>
      </c>
    </row>
    <row r="85" spans="1:11">
      <c r="A85" s="56" t="s">
        <v>162</v>
      </c>
      <c r="B85" s="85">
        <v>0</v>
      </c>
      <c r="C85" s="80">
        <v>0</v>
      </c>
      <c r="D85" s="80">
        <v>0</v>
      </c>
      <c r="E85" s="80">
        <v>0</v>
      </c>
      <c r="F85" s="80">
        <v>0</v>
      </c>
      <c r="G85" s="80">
        <v>0</v>
      </c>
      <c r="H85" s="80">
        <v>0</v>
      </c>
      <c r="I85" s="80">
        <v>1</v>
      </c>
      <c r="J85" s="80">
        <v>1</v>
      </c>
      <c r="K85" s="142">
        <f t="shared" si="3"/>
        <v>1</v>
      </c>
    </row>
    <row r="86" spans="1:11">
      <c r="A86" s="56" t="s">
        <v>76</v>
      </c>
      <c r="B86" s="85">
        <v>0</v>
      </c>
      <c r="C86" s="80">
        <v>2</v>
      </c>
      <c r="D86" s="80">
        <v>2</v>
      </c>
      <c r="E86" s="80">
        <v>0</v>
      </c>
      <c r="F86" s="80">
        <v>0</v>
      </c>
      <c r="G86" s="80">
        <v>0</v>
      </c>
      <c r="H86" s="80">
        <v>0</v>
      </c>
      <c r="I86" s="80">
        <v>0</v>
      </c>
      <c r="J86" s="80">
        <v>0</v>
      </c>
      <c r="K86" s="142">
        <f t="shared" si="3"/>
        <v>2</v>
      </c>
    </row>
    <row r="87" spans="1:11">
      <c r="A87" s="56" t="s">
        <v>78</v>
      </c>
      <c r="B87" s="85">
        <v>2</v>
      </c>
      <c r="C87" s="80">
        <v>3</v>
      </c>
      <c r="D87" s="80">
        <v>5</v>
      </c>
      <c r="E87" s="80">
        <v>0</v>
      </c>
      <c r="F87" s="80">
        <v>0</v>
      </c>
      <c r="G87" s="80">
        <v>0</v>
      </c>
      <c r="H87" s="80">
        <v>6</v>
      </c>
      <c r="I87" s="80">
        <v>3</v>
      </c>
      <c r="J87" s="80">
        <v>9</v>
      </c>
      <c r="K87" s="142">
        <f t="shared" si="3"/>
        <v>14</v>
      </c>
    </row>
    <row r="88" spans="1:11">
      <c r="A88" s="56" t="s">
        <v>79</v>
      </c>
      <c r="B88" s="85">
        <v>0</v>
      </c>
      <c r="C88" s="80">
        <v>0</v>
      </c>
      <c r="D88" s="80">
        <v>0</v>
      </c>
      <c r="E88" s="80">
        <v>0</v>
      </c>
      <c r="F88" s="80">
        <v>0</v>
      </c>
      <c r="G88" s="80">
        <v>0</v>
      </c>
      <c r="H88" s="80">
        <v>2</v>
      </c>
      <c r="I88" s="80">
        <v>0</v>
      </c>
      <c r="J88" s="80">
        <v>2</v>
      </c>
      <c r="K88" s="142">
        <f t="shared" si="3"/>
        <v>2</v>
      </c>
    </row>
    <row r="89" spans="1:11">
      <c r="A89" s="56" t="s">
        <v>127</v>
      </c>
      <c r="B89" s="85">
        <v>92</v>
      </c>
      <c r="C89" s="80">
        <v>27</v>
      </c>
      <c r="D89" s="80">
        <v>119</v>
      </c>
      <c r="E89" s="80">
        <v>21</v>
      </c>
      <c r="F89" s="80">
        <v>7</v>
      </c>
      <c r="G89" s="80">
        <v>28</v>
      </c>
      <c r="H89" s="80">
        <v>106</v>
      </c>
      <c r="I89" s="80">
        <v>80</v>
      </c>
      <c r="J89" s="80">
        <v>186</v>
      </c>
      <c r="K89" s="142">
        <f t="shared" si="3"/>
        <v>333</v>
      </c>
    </row>
    <row r="90" spans="1:11">
      <c r="A90" s="56" t="s">
        <v>166</v>
      </c>
      <c r="B90" s="85">
        <v>2</v>
      </c>
      <c r="C90" s="80">
        <v>6</v>
      </c>
      <c r="D90" s="80">
        <v>8</v>
      </c>
      <c r="E90" s="80">
        <v>0</v>
      </c>
      <c r="F90" s="80">
        <v>0</v>
      </c>
      <c r="G90" s="80">
        <v>0</v>
      </c>
      <c r="H90" s="80">
        <v>0</v>
      </c>
      <c r="I90" s="80">
        <v>0</v>
      </c>
      <c r="J90" s="80">
        <v>0</v>
      </c>
      <c r="K90" s="142">
        <f t="shared" si="3"/>
        <v>8</v>
      </c>
    </row>
    <row r="91" spans="1:11">
      <c r="A91" s="56" t="s">
        <v>81</v>
      </c>
      <c r="B91" s="85">
        <v>2</v>
      </c>
      <c r="C91" s="80">
        <v>3</v>
      </c>
      <c r="D91" s="80">
        <v>5</v>
      </c>
      <c r="E91" s="80">
        <v>0</v>
      </c>
      <c r="F91" s="80">
        <v>0</v>
      </c>
      <c r="G91" s="80">
        <v>0</v>
      </c>
      <c r="H91" s="80">
        <v>0</v>
      </c>
      <c r="I91" s="80">
        <v>0</v>
      </c>
      <c r="J91" s="80">
        <v>0</v>
      </c>
      <c r="K91" s="142">
        <f t="shared" si="3"/>
        <v>5</v>
      </c>
    </row>
    <row r="92" spans="1:11">
      <c r="A92" s="56" t="s">
        <v>167</v>
      </c>
      <c r="B92" s="85">
        <v>25</v>
      </c>
      <c r="C92" s="80">
        <v>13</v>
      </c>
      <c r="D92" s="80">
        <v>38</v>
      </c>
      <c r="E92" s="80">
        <v>0</v>
      </c>
      <c r="F92" s="80">
        <v>0</v>
      </c>
      <c r="G92" s="80">
        <v>0</v>
      </c>
      <c r="H92" s="80">
        <v>0</v>
      </c>
      <c r="I92" s="80">
        <v>0</v>
      </c>
      <c r="J92" s="80">
        <v>0</v>
      </c>
      <c r="K92" s="142">
        <f t="shared" si="3"/>
        <v>38</v>
      </c>
    </row>
    <row r="93" spans="1:11">
      <c r="A93" s="56" t="s">
        <v>25</v>
      </c>
      <c r="B93" s="85">
        <v>51003</v>
      </c>
      <c r="C93" s="80">
        <v>35299</v>
      </c>
      <c r="D93" s="80">
        <v>86302</v>
      </c>
      <c r="E93" s="80">
        <v>936</v>
      </c>
      <c r="F93" s="80">
        <v>1280</v>
      </c>
      <c r="G93" s="80">
        <v>2216</v>
      </c>
      <c r="H93" s="80">
        <v>132</v>
      </c>
      <c r="I93" s="80">
        <v>121</v>
      </c>
      <c r="J93" s="80">
        <v>253</v>
      </c>
      <c r="K93" s="142">
        <f t="shared" si="3"/>
        <v>88771</v>
      </c>
    </row>
    <row r="94" spans="1:11">
      <c r="A94" s="56" t="s">
        <v>83</v>
      </c>
      <c r="B94" s="85">
        <v>5</v>
      </c>
      <c r="C94" s="80">
        <v>2</v>
      </c>
      <c r="D94" s="80">
        <v>7</v>
      </c>
      <c r="E94" s="80">
        <v>0</v>
      </c>
      <c r="F94" s="80">
        <v>0</v>
      </c>
      <c r="G94" s="80">
        <v>0</v>
      </c>
      <c r="H94" s="80">
        <v>1</v>
      </c>
      <c r="I94" s="80">
        <v>1</v>
      </c>
      <c r="J94" s="80">
        <v>2</v>
      </c>
      <c r="K94" s="142">
        <f t="shared" si="3"/>
        <v>9</v>
      </c>
    </row>
    <row r="95" spans="1:11">
      <c r="A95" s="56" t="s">
        <v>218</v>
      </c>
      <c r="B95" s="85">
        <v>12</v>
      </c>
      <c r="C95" s="80">
        <v>0</v>
      </c>
      <c r="D95" s="80">
        <v>12</v>
      </c>
      <c r="E95" s="80">
        <v>0</v>
      </c>
      <c r="F95" s="80">
        <v>0</v>
      </c>
      <c r="G95" s="80">
        <v>0</v>
      </c>
      <c r="H95" s="80">
        <v>2</v>
      </c>
      <c r="I95" s="80">
        <v>2</v>
      </c>
      <c r="J95" s="80">
        <v>4</v>
      </c>
      <c r="K95" s="142">
        <f t="shared" si="3"/>
        <v>16</v>
      </c>
    </row>
    <row r="96" spans="1:11">
      <c r="A96" s="56" t="s">
        <v>242</v>
      </c>
      <c r="B96" s="85">
        <v>3</v>
      </c>
      <c r="C96" s="80">
        <v>0</v>
      </c>
      <c r="D96" s="80">
        <v>3</v>
      </c>
      <c r="E96" s="80">
        <v>0</v>
      </c>
      <c r="F96" s="80">
        <v>1</v>
      </c>
      <c r="G96" s="80">
        <v>1</v>
      </c>
      <c r="H96" s="80">
        <v>1</v>
      </c>
      <c r="I96" s="80">
        <v>1</v>
      </c>
      <c r="J96" s="80">
        <v>2</v>
      </c>
      <c r="K96" s="142">
        <f t="shared" si="3"/>
        <v>6</v>
      </c>
    </row>
    <row r="97" spans="1:11">
      <c r="A97" s="56" t="s">
        <v>219</v>
      </c>
      <c r="B97" s="85">
        <v>17</v>
      </c>
      <c r="C97" s="80">
        <v>8</v>
      </c>
      <c r="D97" s="80">
        <v>25</v>
      </c>
      <c r="E97" s="80">
        <v>4</v>
      </c>
      <c r="F97" s="80">
        <v>1</v>
      </c>
      <c r="G97" s="80">
        <v>5</v>
      </c>
      <c r="H97" s="80">
        <v>29</v>
      </c>
      <c r="I97" s="80">
        <v>26</v>
      </c>
      <c r="J97" s="80">
        <v>55</v>
      </c>
      <c r="K97" s="142">
        <f t="shared" si="3"/>
        <v>85</v>
      </c>
    </row>
    <row r="98" spans="1:11">
      <c r="A98" s="56" t="s">
        <v>169</v>
      </c>
      <c r="B98" s="85">
        <v>2</v>
      </c>
      <c r="C98" s="80">
        <v>1</v>
      </c>
      <c r="D98" s="80">
        <v>3</v>
      </c>
      <c r="E98" s="80">
        <v>0</v>
      </c>
      <c r="F98" s="80">
        <v>1</v>
      </c>
      <c r="G98" s="80">
        <v>1</v>
      </c>
      <c r="H98" s="80">
        <v>0</v>
      </c>
      <c r="I98" s="80">
        <v>0</v>
      </c>
      <c r="J98" s="80">
        <v>0</v>
      </c>
      <c r="K98" s="142">
        <f t="shared" si="3"/>
        <v>4</v>
      </c>
    </row>
    <row r="99" spans="1:11">
      <c r="A99" s="56" t="s">
        <v>410</v>
      </c>
      <c r="B99" s="85">
        <v>0</v>
      </c>
      <c r="C99" s="80">
        <v>0</v>
      </c>
      <c r="D99" s="80">
        <v>0</v>
      </c>
      <c r="E99" s="80">
        <v>0</v>
      </c>
      <c r="F99" s="80">
        <v>0</v>
      </c>
      <c r="G99" s="80">
        <v>0</v>
      </c>
      <c r="H99" s="80">
        <v>1</v>
      </c>
      <c r="I99" s="80">
        <v>0</v>
      </c>
      <c r="J99" s="80">
        <v>1</v>
      </c>
      <c r="K99" s="142">
        <f t="shared" si="3"/>
        <v>1</v>
      </c>
    </row>
    <row r="100" spans="1:11">
      <c r="A100" s="56" t="s">
        <v>170</v>
      </c>
      <c r="B100" s="85">
        <v>1</v>
      </c>
      <c r="C100" s="80">
        <v>0</v>
      </c>
      <c r="D100" s="80">
        <v>1</v>
      </c>
      <c r="E100" s="80">
        <v>2</v>
      </c>
      <c r="F100" s="80">
        <v>3</v>
      </c>
      <c r="G100" s="80">
        <v>5</v>
      </c>
      <c r="H100" s="80">
        <v>1</v>
      </c>
      <c r="I100" s="80">
        <v>0</v>
      </c>
      <c r="J100" s="80">
        <v>1</v>
      </c>
      <c r="K100" s="142">
        <f t="shared" si="3"/>
        <v>7</v>
      </c>
    </row>
    <row r="101" spans="1:11">
      <c r="A101" s="56" t="s">
        <v>29</v>
      </c>
      <c r="B101" s="85">
        <v>95</v>
      </c>
      <c r="C101" s="80">
        <v>74</v>
      </c>
      <c r="D101" s="80">
        <v>169</v>
      </c>
      <c r="E101" s="80">
        <v>282</v>
      </c>
      <c r="F101" s="80">
        <v>441</v>
      </c>
      <c r="G101" s="80">
        <v>723</v>
      </c>
      <c r="H101" s="80">
        <v>25</v>
      </c>
      <c r="I101" s="80">
        <v>13</v>
      </c>
      <c r="J101" s="80">
        <v>38</v>
      </c>
      <c r="K101" s="142">
        <f t="shared" si="3"/>
        <v>930</v>
      </c>
    </row>
    <row r="102" spans="1:11">
      <c r="A102" s="56" t="s">
        <v>128</v>
      </c>
      <c r="B102" s="85">
        <v>6</v>
      </c>
      <c r="C102" s="80">
        <v>4</v>
      </c>
      <c r="D102" s="80">
        <v>10</v>
      </c>
      <c r="E102" s="80">
        <v>0</v>
      </c>
      <c r="F102" s="80">
        <v>0</v>
      </c>
      <c r="G102" s="80">
        <v>0</v>
      </c>
      <c r="H102" s="80">
        <v>2</v>
      </c>
      <c r="I102" s="80">
        <v>0</v>
      </c>
      <c r="J102" s="80">
        <v>2</v>
      </c>
      <c r="K102" s="142">
        <f t="shared" si="3"/>
        <v>12</v>
      </c>
    </row>
    <row r="103" spans="1:11">
      <c r="A103" s="56" t="s">
        <v>129</v>
      </c>
      <c r="B103" s="85">
        <v>74</v>
      </c>
      <c r="C103" s="80">
        <v>51</v>
      </c>
      <c r="D103" s="80">
        <v>125</v>
      </c>
      <c r="E103" s="80">
        <v>9</v>
      </c>
      <c r="F103" s="80">
        <v>7</v>
      </c>
      <c r="G103" s="80">
        <v>16</v>
      </c>
      <c r="H103" s="80">
        <v>74</v>
      </c>
      <c r="I103" s="80">
        <v>71</v>
      </c>
      <c r="J103" s="80">
        <v>145</v>
      </c>
      <c r="K103" s="142">
        <f t="shared" si="3"/>
        <v>286</v>
      </c>
    </row>
    <row r="104" spans="1:11">
      <c r="A104" s="56" t="s">
        <v>220</v>
      </c>
      <c r="B104" s="85">
        <v>2</v>
      </c>
      <c r="C104" s="80">
        <v>0</v>
      </c>
      <c r="D104" s="80">
        <v>2</v>
      </c>
      <c r="E104" s="80">
        <v>0</v>
      </c>
      <c r="F104" s="80">
        <v>1</v>
      </c>
      <c r="G104" s="80">
        <v>1</v>
      </c>
      <c r="H104" s="80">
        <v>8</v>
      </c>
      <c r="I104" s="80">
        <v>14</v>
      </c>
      <c r="J104" s="80">
        <v>22</v>
      </c>
      <c r="K104" s="142">
        <f t="shared" si="3"/>
        <v>25</v>
      </c>
    </row>
    <row r="105" spans="1:11">
      <c r="A105" s="56" t="s">
        <v>221</v>
      </c>
      <c r="B105" s="85">
        <v>5</v>
      </c>
      <c r="C105" s="80">
        <v>4</v>
      </c>
      <c r="D105" s="80">
        <v>9</v>
      </c>
      <c r="E105" s="80">
        <v>0</v>
      </c>
      <c r="F105" s="80">
        <v>0</v>
      </c>
      <c r="G105" s="80">
        <v>0</v>
      </c>
      <c r="H105" s="80">
        <v>7</v>
      </c>
      <c r="I105" s="80">
        <v>0</v>
      </c>
      <c r="J105" s="80">
        <v>7</v>
      </c>
      <c r="K105" s="142">
        <f t="shared" si="3"/>
        <v>16</v>
      </c>
    </row>
    <row r="106" spans="1:11">
      <c r="A106" s="56" t="s">
        <v>130</v>
      </c>
      <c r="B106" s="85">
        <v>1</v>
      </c>
      <c r="C106" s="80">
        <v>0</v>
      </c>
      <c r="D106" s="80">
        <v>1</v>
      </c>
      <c r="E106" s="80">
        <v>0</v>
      </c>
      <c r="F106" s="80">
        <v>0</v>
      </c>
      <c r="G106" s="80">
        <v>0</v>
      </c>
      <c r="H106" s="80">
        <v>1</v>
      </c>
      <c r="I106" s="80">
        <v>0</v>
      </c>
      <c r="J106" s="80">
        <v>1</v>
      </c>
      <c r="K106" s="142">
        <f t="shared" si="3"/>
        <v>2</v>
      </c>
    </row>
    <row r="107" spans="1:11">
      <c r="A107" s="56" t="s">
        <v>223</v>
      </c>
      <c r="B107" s="85">
        <v>13</v>
      </c>
      <c r="C107" s="80">
        <v>3</v>
      </c>
      <c r="D107" s="80">
        <v>16</v>
      </c>
      <c r="E107" s="80">
        <v>7</v>
      </c>
      <c r="F107" s="80">
        <v>4</v>
      </c>
      <c r="G107" s="80">
        <v>11</v>
      </c>
      <c r="H107" s="80">
        <v>49</v>
      </c>
      <c r="I107" s="80">
        <v>37</v>
      </c>
      <c r="J107" s="80">
        <v>86</v>
      </c>
      <c r="K107" s="142">
        <f t="shared" si="3"/>
        <v>113</v>
      </c>
    </row>
    <row r="108" spans="1:11">
      <c r="A108" s="56" t="s">
        <v>324</v>
      </c>
      <c r="B108" s="85">
        <v>5</v>
      </c>
      <c r="C108" s="80">
        <v>3</v>
      </c>
      <c r="D108" s="80">
        <v>8</v>
      </c>
      <c r="E108" s="80">
        <v>0</v>
      </c>
      <c r="F108" s="80">
        <v>0</v>
      </c>
      <c r="G108" s="80">
        <v>0</v>
      </c>
      <c r="H108" s="80">
        <v>21</v>
      </c>
      <c r="I108" s="80">
        <v>17</v>
      </c>
      <c r="J108" s="80">
        <v>38</v>
      </c>
      <c r="K108" s="142">
        <f t="shared" si="3"/>
        <v>46</v>
      </c>
    </row>
    <row r="109" spans="1:11">
      <c r="A109" s="56" t="s">
        <v>411</v>
      </c>
      <c r="B109" s="85">
        <v>9</v>
      </c>
      <c r="C109" s="80">
        <v>10</v>
      </c>
      <c r="D109" s="80">
        <v>19</v>
      </c>
      <c r="E109" s="80">
        <v>0</v>
      </c>
      <c r="F109" s="80">
        <v>0</v>
      </c>
      <c r="G109" s="80">
        <v>0</v>
      </c>
      <c r="H109" s="80">
        <v>8</v>
      </c>
      <c r="I109" s="80">
        <v>5</v>
      </c>
      <c r="J109" s="80">
        <v>13</v>
      </c>
      <c r="K109" s="142">
        <f t="shared" si="3"/>
        <v>32</v>
      </c>
    </row>
    <row r="110" spans="1:11">
      <c r="A110" s="56" t="s">
        <v>412</v>
      </c>
      <c r="B110" s="85">
        <v>72</v>
      </c>
      <c r="C110" s="80">
        <v>52</v>
      </c>
      <c r="D110" s="80">
        <v>124</v>
      </c>
      <c r="E110" s="80">
        <v>9</v>
      </c>
      <c r="F110" s="80">
        <v>12</v>
      </c>
      <c r="G110" s="80">
        <v>21</v>
      </c>
      <c r="H110" s="80">
        <v>47</v>
      </c>
      <c r="I110" s="80">
        <v>22</v>
      </c>
      <c r="J110" s="80">
        <v>69</v>
      </c>
      <c r="K110" s="142">
        <f t="shared" ref="K110:K141" si="4">D110+G110+J110</f>
        <v>214</v>
      </c>
    </row>
    <row r="111" spans="1:11">
      <c r="A111" s="56" t="s">
        <v>400</v>
      </c>
      <c r="B111" s="85">
        <v>3</v>
      </c>
      <c r="C111" s="80">
        <v>0</v>
      </c>
      <c r="D111" s="80">
        <v>3</v>
      </c>
      <c r="E111" s="80">
        <v>0</v>
      </c>
      <c r="F111" s="80">
        <v>1</v>
      </c>
      <c r="G111" s="80">
        <v>1</v>
      </c>
      <c r="H111" s="80">
        <v>1</v>
      </c>
      <c r="I111" s="80">
        <v>0</v>
      </c>
      <c r="J111" s="80">
        <v>1</v>
      </c>
      <c r="K111" s="142">
        <f t="shared" si="4"/>
        <v>5</v>
      </c>
    </row>
    <row r="112" spans="1:11">
      <c r="A112" s="56" t="s">
        <v>397</v>
      </c>
      <c r="B112" s="85">
        <v>1</v>
      </c>
      <c r="C112" s="80">
        <v>0</v>
      </c>
      <c r="D112" s="80">
        <v>1</v>
      </c>
      <c r="E112" s="80">
        <v>0</v>
      </c>
      <c r="F112" s="80">
        <v>0</v>
      </c>
      <c r="G112" s="80">
        <v>0</v>
      </c>
      <c r="H112" s="80">
        <v>0</v>
      </c>
      <c r="I112" s="80">
        <v>0</v>
      </c>
      <c r="J112" s="80">
        <v>0</v>
      </c>
      <c r="K112" s="142">
        <f t="shared" si="4"/>
        <v>1</v>
      </c>
    </row>
    <row r="113" spans="1:11">
      <c r="A113" s="56" t="s">
        <v>327</v>
      </c>
      <c r="B113" s="85">
        <v>1</v>
      </c>
      <c r="C113" s="80">
        <v>1</v>
      </c>
      <c r="D113" s="80">
        <v>2</v>
      </c>
      <c r="E113" s="80">
        <v>0</v>
      </c>
      <c r="F113" s="80">
        <v>0</v>
      </c>
      <c r="G113" s="80">
        <v>0</v>
      </c>
      <c r="H113" s="80">
        <v>1</v>
      </c>
      <c r="I113" s="80">
        <v>0</v>
      </c>
      <c r="J113" s="80">
        <v>1</v>
      </c>
      <c r="K113" s="142">
        <f t="shared" si="4"/>
        <v>3</v>
      </c>
    </row>
    <row r="114" spans="1:11">
      <c r="A114" s="56" t="s">
        <v>35</v>
      </c>
      <c r="B114" s="5">
        <v>53</v>
      </c>
      <c r="C114" s="77">
        <v>65</v>
      </c>
      <c r="D114" s="77">
        <v>118</v>
      </c>
      <c r="E114" s="80">
        <v>13</v>
      </c>
      <c r="F114" s="80">
        <v>10</v>
      </c>
      <c r="G114" s="80">
        <v>23</v>
      </c>
      <c r="H114" s="80">
        <v>22</v>
      </c>
      <c r="I114" s="80">
        <v>6</v>
      </c>
      <c r="J114" s="80">
        <v>28</v>
      </c>
      <c r="K114" s="142">
        <f t="shared" si="4"/>
        <v>169</v>
      </c>
    </row>
    <row r="115" spans="1:11">
      <c r="A115" s="56" t="s">
        <v>328</v>
      </c>
      <c r="B115" s="85">
        <v>0</v>
      </c>
      <c r="C115" s="80">
        <v>0</v>
      </c>
      <c r="D115" s="80">
        <v>0</v>
      </c>
      <c r="E115" s="80">
        <v>0</v>
      </c>
      <c r="F115" s="80">
        <v>0</v>
      </c>
      <c r="G115" s="80">
        <v>0</v>
      </c>
      <c r="H115" s="80">
        <v>1</v>
      </c>
      <c r="I115" s="80">
        <v>0</v>
      </c>
      <c r="J115" s="80">
        <v>1</v>
      </c>
      <c r="K115" s="142">
        <f t="shared" si="4"/>
        <v>1</v>
      </c>
    </row>
    <row r="116" spans="1:11">
      <c r="A116" s="56" t="s">
        <v>413</v>
      </c>
      <c r="B116" s="85">
        <v>1</v>
      </c>
      <c r="C116" s="80">
        <v>0</v>
      </c>
      <c r="D116" s="80">
        <v>1</v>
      </c>
      <c r="E116" s="80">
        <v>0</v>
      </c>
      <c r="F116" s="80">
        <v>0</v>
      </c>
      <c r="G116" s="80">
        <v>0</v>
      </c>
      <c r="H116" s="80">
        <v>0</v>
      </c>
      <c r="I116" s="80">
        <v>0</v>
      </c>
      <c r="J116" s="80">
        <v>0</v>
      </c>
      <c r="K116" s="142">
        <f t="shared" si="4"/>
        <v>1</v>
      </c>
    </row>
    <row r="117" spans="1:11">
      <c r="A117" s="56" t="s">
        <v>329</v>
      </c>
      <c r="B117" s="85">
        <v>0</v>
      </c>
      <c r="C117" s="80">
        <v>3</v>
      </c>
      <c r="D117" s="80">
        <v>3</v>
      </c>
      <c r="E117" s="80">
        <v>0</v>
      </c>
      <c r="F117" s="80">
        <v>0</v>
      </c>
      <c r="G117" s="80">
        <v>0</v>
      </c>
      <c r="H117" s="80">
        <v>0</v>
      </c>
      <c r="I117" s="80">
        <v>0</v>
      </c>
      <c r="J117" s="80">
        <v>0</v>
      </c>
      <c r="K117" s="142">
        <f t="shared" si="4"/>
        <v>3</v>
      </c>
    </row>
    <row r="118" spans="1:11">
      <c r="A118" s="56" t="s">
        <v>226</v>
      </c>
      <c r="B118" s="85">
        <v>2</v>
      </c>
      <c r="C118" s="80">
        <v>2</v>
      </c>
      <c r="D118" s="80">
        <v>4</v>
      </c>
      <c r="E118" s="80">
        <v>1</v>
      </c>
      <c r="F118" s="80">
        <v>0</v>
      </c>
      <c r="G118" s="80">
        <v>1</v>
      </c>
      <c r="H118" s="80">
        <v>5</v>
      </c>
      <c r="I118" s="80">
        <v>11</v>
      </c>
      <c r="J118" s="80">
        <v>16</v>
      </c>
      <c r="K118" s="142">
        <f t="shared" si="4"/>
        <v>21</v>
      </c>
    </row>
    <row r="119" spans="1:11">
      <c r="A119" s="56" t="s">
        <v>414</v>
      </c>
      <c r="B119" s="85">
        <v>0</v>
      </c>
      <c r="C119" s="80">
        <v>0</v>
      </c>
      <c r="D119" s="80">
        <v>0</v>
      </c>
      <c r="E119" s="80">
        <v>0</v>
      </c>
      <c r="F119" s="80">
        <v>0</v>
      </c>
      <c r="G119" s="80">
        <v>0</v>
      </c>
      <c r="H119" s="80">
        <v>0</v>
      </c>
      <c r="I119" s="80">
        <v>1</v>
      </c>
      <c r="J119" s="80">
        <v>1</v>
      </c>
      <c r="K119" s="142">
        <f t="shared" si="4"/>
        <v>1</v>
      </c>
    </row>
    <row r="120" spans="1:11">
      <c r="A120" s="56" t="s">
        <v>135</v>
      </c>
      <c r="B120" s="85">
        <v>0</v>
      </c>
      <c r="C120" s="80">
        <v>0</v>
      </c>
      <c r="D120" s="80">
        <v>0</v>
      </c>
      <c r="E120" s="80">
        <v>0</v>
      </c>
      <c r="F120" s="80">
        <v>0</v>
      </c>
      <c r="G120" s="80">
        <v>0</v>
      </c>
      <c r="H120" s="80">
        <v>2</v>
      </c>
      <c r="I120" s="80">
        <v>2</v>
      </c>
      <c r="J120" s="80">
        <v>4</v>
      </c>
      <c r="K120" s="142">
        <f t="shared" si="4"/>
        <v>4</v>
      </c>
    </row>
    <row r="121" spans="1:11">
      <c r="A121" s="56" t="s">
        <v>379</v>
      </c>
      <c r="B121" s="85">
        <v>0</v>
      </c>
      <c r="C121" s="80">
        <v>0</v>
      </c>
      <c r="D121" s="80">
        <v>0</v>
      </c>
      <c r="E121" s="80">
        <v>0</v>
      </c>
      <c r="F121" s="80">
        <v>0</v>
      </c>
      <c r="G121" s="80">
        <v>0</v>
      </c>
      <c r="H121" s="80">
        <v>1</v>
      </c>
      <c r="I121" s="80">
        <v>0</v>
      </c>
      <c r="J121" s="80">
        <v>1</v>
      </c>
      <c r="K121" s="142">
        <f t="shared" si="4"/>
        <v>1</v>
      </c>
    </row>
    <row r="122" spans="1:11">
      <c r="A122" s="56" t="s">
        <v>177</v>
      </c>
      <c r="B122" s="85">
        <v>8</v>
      </c>
      <c r="C122" s="80">
        <v>4</v>
      </c>
      <c r="D122" s="80">
        <v>12</v>
      </c>
      <c r="E122" s="80">
        <v>0</v>
      </c>
      <c r="F122" s="80">
        <v>0</v>
      </c>
      <c r="G122" s="80">
        <v>0</v>
      </c>
      <c r="H122" s="80">
        <v>0</v>
      </c>
      <c r="I122" s="80">
        <v>3</v>
      </c>
      <c r="J122" s="80">
        <v>3</v>
      </c>
      <c r="K122" s="142">
        <f t="shared" si="4"/>
        <v>15</v>
      </c>
    </row>
    <row r="123" spans="1:11">
      <c r="A123" s="56" t="s">
        <v>94</v>
      </c>
      <c r="B123" s="85">
        <v>2</v>
      </c>
      <c r="C123" s="80">
        <v>4</v>
      </c>
      <c r="D123" s="80">
        <v>6</v>
      </c>
      <c r="E123" s="80">
        <v>1</v>
      </c>
      <c r="F123" s="80">
        <v>0</v>
      </c>
      <c r="G123" s="80">
        <v>1</v>
      </c>
      <c r="H123" s="80">
        <v>5</v>
      </c>
      <c r="I123" s="80">
        <v>7</v>
      </c>
      <c r="J123" s="80">
        <v>12</v>
      </c>
      <c r="K123" s="142">
        <f t="shared" si="4"/>
        <v>19</v>
      </c>
    </row>
    <row r="124" spans="1:11">
      <c r="A124" s="56" t="s">
        <v>96</v>
      </c>
      <c r="B124" s="85">
        <v>0</v>
      </c>
      <c r="C124" s="80">
        <v>2</v>
      </c>
      <c r="D124" s="80">
        <v>2</v>
      </c>
      <c r="E124" s="80">
        <v>0</v>
      </c>
      <c r="F124" s="80">
        <v>0</v>
      </c>
      <c r="G124" s="80">
        <v>0</v>
      </c>
      <c r="H124" s="80">
        <v>0</v>
      </c>
      <c r="I124" s="80">
        <v>0</v>
      </c>
      <c r="J124" s="80">
        <v>0</v>
      </c>
      <c r="K124" s="142">
        <f t="shared" si="4"/>
        <v>2</v>
      </c>
    </row>
    <row r="125" spans="1:11">
      <c r="A125" s="56" t="s">
        <v>230</v>
      </c>
      <c r="B125" s="85">
        <v>6</v>
      </c>
      <c r="C125" s="80">
        <v>0</v>
      </c>
      <c r="D125" s="80">
        <v>6</v>
      </c>
      <c r="E125" s="80">
        <v>0</v>
      </c>
      <c r="F125" s="80">
        <v>1</v>
      </c>
      <c r="G125" s="80">
        <v>1</v>
      </c>
      <c r="H125" s="80">
        <v>6</v>
      </c>
      <c r="I125" s="80">
        <v>5</v>
      </c>
      <c r="J125" s="80">
        <v>11</v>
      </c>
      <c r="K125" s="142">
        <f t="shared" si="4"/>
        <v>18</v>
      </c>
    </row>
    <row r="126" spans="1:11">
      <c r="A126" s="56" t="s">
        <v>231</v>
      </c>
      <c r="B126" s="85">
        <v>18</v>
      </c>
      <c r="C126" s="80">
        <v>4</v>
      </c>
      <c r="D126" s="80">
        <v>22</v>
      </c>
      <c r="E126" s="80">
        <v>2</v>
      </c>
      <c r="F126" s="80">
        <v>3</v>
      </c>
      <c r="G126" s="80">
        <v>5</v>
      </c>
      <c r="H126" s="80">
        <v>38</v>
      </c>
      <c r="I126" s="80">
        <v>37</v>
      </c>
      <c r="J126" s="80">
        <v>75</v>
      </c>
      <c r="K126" s="142">
        <f t="shared" si="4"/>
        <v>102</v>
      </c>
    </row>
    <row r="127" spans="1:11">
      <c r="A127" s="56" t="s">
        <v>415</v>
      </c>
      <c r="B127" s="85">
        <v>1</v>
      </c>
      <c r="C127" s="80">
        <v>1</v>
      </c>
      <c r="D127" s="80">
        <v>2</v>
      </c>
      <c r="E127" s="80">
        <v>0</v>
      </c>
      <c r="F127" s="80">
        <v>0</v>
      </c>
      <c r="G127" s="80">
        <v>0</v>
      </c>
      <c r="H127" s="80">
        <v>0</v>
      </c>
      <c r="I127" s="80">
        <v>0</v>
      </c>
      <c r="J127" s="80">
        <v>0</v>
      </c>
      <c r="K127" s="142">
        <f t="shared" si="4"/>
        <v>2</v>
      </c>
    </row>
    <row r="128" spans="1:11">
      <c r="A128" s="56" t="s">
        <v>179</v>
      </c>
      <c r="B128" s="85">
        <v>3</v>
      </c>
      <c r="C128" s="80">
        <v>0</v>
      </c>
      <c r="D128" s="80">
        <v>3</v>
      </c>
      <c r="E128" s="80">
        <v>0</v>
      </c>
      <c r="F128" s="80">
        <v>0</v>
      </c>
      <c r="G128" s="80">
        <v>0</v>
      </c>
      <c r="H128" s="80">
        <v>1</v>
      </c>
      <c r="I128" s="80">
        <v>0</v>
      </c>
      <c r="J128" s="80">
        <v>1</v>
      </c>
      <c r="K128" s="142">
        <f t="shared" si="4"/>
        <v>4</v>
      </c>
    </row>
    <row r="129" spans="1:11">
      <c r="A129" s="56" t="s">
        <v>98</v>
      </c>
      <c r="B129" s="85">
        <v>1</v>
      </c>
      <c r="C129" s="80">
        <v>2</v>
      </c>
      <c r="D129" s="80">
        <v>3</v>
      </c>
      <c r="E129" s="80">
        <v>0</v>
      </c>
      <c r="F129" s="80">
        <v>0</v>
      </c>
      <c r="G129" s="80">
        <v>0</v>
      </c>
      <c r="H129" s="80">
        <v>0</v>
      </c>
      <c r="I129" s="80">
        <v>0</v>
      </c>
      <c r="J129" s="80">
        <v>0</v>
      </c>
      <c r="K129" s="142">
        <f t="shared" si="4"/>
        <v>3</v>
      </c>
    </row>
    <row r="130" spans="1:11">
      <c r="A130" s="56" t="s">
        <v>137</v>
      </c>
      <c r="B130" s="85">
        <v>0</v>
      </c>
      <c r="C130" s="80">
        <v>0</v>
      </c>
      <c r="D130" s="80">
        <v>0</v>
      </c>
      <c r="E130" s="80">
        <v>0</v>
      </c>
      <c r="F130" s="80">
        <v>0</v>
      </c>
      <c r="G130" s="80">
        <v>0</v>
      </c>
      <c r="H130" s="80">
        <v>2</v>
      </c>
      <c r="I130" s="80">
        <v>1</v>
      </c>
      <c r="J130" s="80">
        <v>3</v>
      </c>
      <c r="K130" s="142">
        <f t="shared" si="4"/>
        <v>3</v>
      </c>
    </row>
    <row r="131" spans="1:11">
      <c r="A131" s="56" t="s">
        <v>100</v>
      </c>
      <c r="B131" s="85">
        <v>1</v>
      </c>
      <c r="C131" s="80">
        <v>0</v>
      </c>
      <c r="D131" s="80">
        <v>1</v>
      </c>
      <c r="E131" s="80">
        <v>0</v>
      </c>
      <c r="F131" s="80">
        <v>0</v>
      </c>
      <c r="G131" s="80">
        <v>0</v>
      </c>
      <c r="H131" s="80">
        <v>1</v>
      </c>
      <c r="I131" s="80">
        <v>0</v>
      </c>
      <c r="J131" s="80">
        <v>1</v>
      </c>
      <c r="K131" s="142">
        <f t="shared" si="4"/>
        <v>2</v>
      </c>
    </row>
    <row r="132" spans="1:11">
      <c r="A132" s="56" t="s">
        <v>183</v>
      </c>
      <c r="B132" s="85">
        <v>5</v>
      </c>
      <c r="C132" s="80">
        <v>0</v>
      </c>
      <c r="D132" s="80">
        <v>5</v>
      </c>
      <c r="E132" s="80">
        <v>0</v>
      </c>
      <c r="F132" s="80">
        <v>0</v>
      </c>
      <c r="G132" s="80">
        <v>0</v>
      </c>
      <c r="H132" s="80">
        <v>11</v>
      </c>
      <c r="I132" s="80">
        <v>3</v>
      </c>
      <c r="J132" s="80">
        <v>14</v>
      </c>
      <c r="K132" s="142">
        <f t="shared" si="4"/>
        <v>19</v>
      </c>
    </row>
    <row r="133" spans="1:11">
      <c r="A133" s="56" t="s">
        <v>232</v>
      </c>
      <c r="B133" s="85">
        <v>12</v>
      </c>
      <c r="C133" s="80">
        <v>28</v>
      </c>
      <c r="D133" s="80">
        <v>40</v>
      </c>
      <c r="E133" s="80">
        <v>4</v>
      </c>
      <c r="F133" s="80">
        <v>1</v>
      </c>
      <c r="G133" s="80">
        <v>5</v>
      </c>
      <c r="H133" s="80">
        <v>0</v>
      </c>
      <c r="I133" s="80">
        <v>3</v>
      </c>
      <c r="J133" s="80">
        <v>3</v>
      </c>
      <c r="K133" s="142">
        <f t="shared" si="4"/>
        <v>48</v>
      </c>
    </row>
    <row r="134" spans="1:11">
      <c r="A134" s="56" t="s">
        <v>101</v>
      </c>
      <c r="B134" s="85">
        <v>3</v>
      </c>
      <c r="C134" s="80">
        <v>4</v>
      </c>
      <c r="D134" s="80">
        <v>7</v>
      </c>
      <c r="E134" s="80">
        <v>0</v>
      </c>
      <c r="F134" s="80">
        <v>0</v>
      </c>
      <c r="G134" s="80">
        <v>0</v>
      </c>
      <c r="H134" s="80">
        <v>0</v>
      </c>
      <c r="I134" s="80">
        <v>0</v>
      </c>
      <c r="J134" s="80">
        <v>0</v>
      </c>
      <c r="K134" s="142">
        <f t="shared" si="4"/>
        <v>7</v>
      </c>
    </row>
    <row r="135" spans="1:11">
      <c r="A135" s="56" t="s">
        <v>138</v>
      </c>
      <c r="B135" s="85">
        <v>5</v>
      </c>
      <c r="C135" s="80">
        <v>9</v>
      </c>
      <c r="D135" s="80">
        <v>14</v>
      </c>
      <c r="E135" s="80">
        <v>1</v>
      </c>
      <c r="F135" s="80">
        <v>1</v>
      </c>
      <c r="G135" s="80">
        <v>2</v>
      </c>
      <c r="H135" s="80">
        <v>14</v>
      </c>
      <c r="I135" s="80">
        <v>4</v>
      </c>
      <c r="J135" s="80">
        <v>18</v>
      </c>
      <c r="K135" s="142">
        <f t="shared" si="4"/>
        <v>34</v>
      </c>
    </row>
    <row r="136" spans="1:11">
      <c r="A136" s="56" t="s">
        <v>184</v>
      </c>
      <c r="B136" s="85">
        <v>1</v>
      </c>
      <c r="C136" s="80">
        <v>0</v>
      </c>
      <c r="D136" s="80">
        <v>1</v>
      </c>
      <c r="E136" s="80">
        <v>0</v>
      </c>
      <c r="F136" s="80">
        <v>0</v>
      </c>
      <c r="G136" s="80">
        <v>0</v>
      </c>
      <c r="H136" s="80">
        <v>0</v>
      </c>
      <c r="I136" s="80">
        <v>0</v>
      </c>
      <c r="J136" s="80">
        <v>0</v>
      </c>
      <c r="K136" s="142">
        <f t="shared" si="4"/>
        <v>1</v>
      </c>
    </row>
    <row r="137" spans="1:11">
      <c r="A137" s="56" t="s">
        <v>416</v>
      </c>
      <c r="B137" s="85">
        <v>0</v>
      </c>
      <c r="C137" s="80">
        <v>1</v>
      </c>
      <c r="D137" s="80">
        <v>1</v>
      </c>
      <c r="E137" s="80">
        <v>0</v>
      </c>
      <c r="F137" s="80">
        <v>0</v>
      </c>
      <c r="G137" s="80">
        <v>0</v>
      </c>
      <c r="H137" s="80">
        <v>0</v>
      </c>
      <c r="I137" s="80">
        <v>1</v>
      </c>
      <c r="J137" s="80">
        <v>1</v>
      </c>
      <c r="K137" s="142">
        <f t="shared" si="4"/>
        <v>2</v>
      </c>
    </row>
    <row r="138" spans="1:11">
      <c r="A138" s="56" t="s">
        <v>27</v>
      </c>
      <c r="B138" s="85">
        <v>1482</v>
      </c>
      <c r="C138" s="80">
        <v>946</v>
      </c>
      <c r="D138" s="80">
        <v>2428</v>
      </c>
      <c r="E138" s="80">
        <v>25</v>
      </c>
      <c r="F138" s="80">
        <v>27</v>
      </c>
      <c r="G138" s="80">
        <v>52</v>
      </c>
      <c r="H138" s="80">
        <v>83</v>
      </c>
      <c r="I138" s="80">
        <v>62</v>
      </c>
      <c r="J138" s="80">
        <v>145</v>
      </c>
      <c r="K138" s="142">
        <f t="shared" si="4"/>
        <v>2625</v>
      </c>
    </row>
    <row r="139" spans="1:11">
      <c r="A139" s="56" t="s">
        <v>417</v>
      </c>
      <c r="B139" s="85">
        <v>7</v>
      </c>
      <c r="C139" s="80">
        <v>3</v>
      </c>
      <c r="D139" s="80">
        <v>10</v>
      </c>
      <c r="E139" s="80">
        <v>0</v>
      </c>
      <c r="F139" s="80">
        <v>0</v>
      </c>
      <c r="G139" s="80">
        <v>0</v>
      </c>
      <c r="H139" s="80">
        <v>1</v>
      </c>
      <c r="I139" s="80">
        <v>0</v>
      </c>
      <c r="J139" s="80">
        <v>1</v>
      </c>
      <c r="K139" s="142">
        <f t="shared" si="4"/>
        <v>11</v>
      </c>
    </row>
    <row r="140" spans="1:11">
      <c r="A140" s="56" t="s">
        <v>186</v>
      </c>
      <c r="B140" s="85">
        <v>1</v>
      </c>
      <c r="C140" s="80">
        <v>0</v>
      </c>
      <c r="D140" s="80">
        <v>1</v>
      </c>
      <c r="E140" s="80">
        <v>0</v>
      </c>
      <c r="F140" s="80">
        <v>0</v>
      </c>
      <c r="G140" s="80">
        <v>0</v>
      </c>
      <c r="H140" s="80">
        <v>0</v>
      </c>
      <c r="I140" s="80">
        <v>0</v>
      </c>
      <c r="J140" s="80">
        <v>0</v>
      </c>
      <c r="K140" s="142">
        <f t="shared" si="4"/>
        <v>1</v>
      </c>
    </row>
    <row r="141" spans="1:11">
      <c r="A141" s="56" t="s">
        <v>102</v>
      </c>
      <c r="B141" s="85">
        <v>1</v>
      </c>
      <c r="C141" s="80">
        <v>1</v>
      </c>
      <c r="D141" s="80">
        <v>2</v>
      </c>
      <c r="E141" s="80">
        <v>0</v>
      </c>
      <c r="F141" s="80">
        <v>0</v>
      </c>
      <c r="G141" s="80">
        <v>0</v>
      </c>
      <c r="H141" s="80">
        <v>0</v>
      </c>
      <c r="I141" s="80">
        <v>0</v>
      </c>
      <c r="J141" s="80">
        <v>0</v>
      </c>
      <c r="K141" s="142">
        <f t="shared" si="4"/>
        <v>2</v>
      </c>
    </row>
    <row r="142" spans="1:11">
      <c r="A142" s="60"/>
      <c r="B142" s="6"/>
      <c r="C142" s="61"/>
      <c r="D142" s="61"/>
      <c r="E142" s="61"/>
      <c r="F142" s="61"/>
      <c r="G142" s="61"/>
      <c r="H142" s="61"/>
      <c r="I142" s="61"/>
      <c r="J142" s="61"/>
      <c r="K142" s="10"/>
    </row>
    <row r="143" spans="1:11" ht="27" customHeight="1">
      <c r="A143" s="148" t="s">
        <v>343</v>
      </c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</row>
    <row r="144" spans="1:11" ht="32.25" customHeight="1">
      <c r="A144" s="148" t="s">
        <v>344</v>
      </c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</row>
    <row r="145" spans="1:11">
      <c r="A145" s="148" t="s">
        <v>16</v>
      </c>
      <c r="B145" s="148"/>
      <c r="C145" s="148"/>
      <c r="D145" s="148"/>
      <c r="E145" s="77"/>
      <c r="F145" s="77"/>
      <c r="G145" s="77"/>
      <c r="H145" s="77"/>
      <c r="I145" s="77"/>
      <c r="J145" s="77"/>
      <c r="K145" s="77"/>
    </row>
    <row r="146" spans="1:11">
      <c r="A146" s="148" t="s">
        <v>345</v>
      </c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</row>
  </sheetData>
  <mergeCells count="16">
    <mergeCell ref="A146:K146"/>
    <mergeCell ref="A1:K1"/>
    <mergeCell ref="A2:K2"/>
    <mergeCell ref="A3:K3"/>
    <mergeCell ref="A4:K4"/>
    <mergeCell ref="A5:K5"/>
    <mergeCell ref="A7:A10"/>
    <mergeCell ref="B7:J7"/>
    <mergeCell ref="K7:K10"/>
    <mergeCell ref="B8:D9"/>
    <mergeCell ref="E8:J8"/>
    <mergeCell ref="E9:G9"/>
    <mergeCell ref="H9:J9"/>
    <mergeCell ref="A143:K143"/>
    <mergeCell ref="A144:K144"/>
    <mergeCell ref="A145:D1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3"/>
  <sheetViews>
    <sheetView workbookViewId="0">
      <selection activeCell="A120" sqref="A120:K123"/>
    </sheetView>
  </sheetViews>
  <sheetFormatPr baseColWidth="10" defaultRowHeight="15"/>
  <cols>
    <col min="1" max="1" width="24.5703125" customWidth="1"/>
    <col min="2" max="11" width="8.7109375" customWidth="1"/>
  </cols>
  <sheetData>
    <row r="1" spans="1:11">
      <c r="A1" s="157" t="s">
        <v>334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</row>
    <row r="2" spans="1:11">
      <c r="A2" s="157" t="s">
        <v>347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</row>
    <row r="3" spans="1:11">
      <c r="A3" s="157" t="s">
        <v>20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</row>
    <row r="4" spans="1:11">
      <c r="A4" s="157" t="s">
        <v>342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</row>
    <row r="6" spans="1:11">
      <c r="A6" s="165" t="s">
        <v>37</v>
      </c>
      <c r="B6" s="167" t="s">
        <v>337</v>
      </c>
      <c r="C6" s="168"/>
      <c r="D6" s="168"/>
      <c r="E6" s="168"/>
      <c r="F6" s="168"/>
      <c r="G6" s="168"/>
      <c r="H6" s="168"/>
      <c r="I6" s="168"/>
      <c r="J6" s="169"/>
      <c r="K6" s="170" t="s">
        <v>0</v>
      </c>
    </row>
    <row r="7" spans="1:11">
      <c r="A7" s="166"/>
      <c r="B7" s="172" t="s">
        <v>338</v>
      </c>
      <c r="C7" s="173"/>
      <c r="D7" s="174"/>
      <c r="E7" s="167" t="s">
        <v>339</v>
      </c>
      <c r="F7" s="168"/>
      <c r="G7" s="168"/>
      <c r="H7" s="168"/>
      <c r="I7" s="168"/>
      <c r="J7" s="169"/>
      <c r="K7" s="171"/>
    </row>
    <row r="8" spans="1:11">
      <c r="A8" s="166"/>
      <c r="B8" s="175"/>
      <c r="C8" s="176"/>
      <c r="D8" s="177"/>
      <c r="E8" s="178" t="s">
        <v>340</v>
      </c>
      <c r="F8" s="179"/>
      <c r="G8" s="180"/>
      <c r="H8" s="178" t="s">
        <v>341</v>
      </c>
      <c r="I8" s="179"/>
      <c r="J8" s="180"/>
      <c r="K8" s="171"/>
    </row>
    <row r="9" spans="1:11">
      <c r="A9" s="166"/>
      <c r="B9" s="87" t="s">
        <v>332</v>
      </c>
      <c r="C9" s="87" t="s">
        <v>333</v>
      </c>
      <c r="D9" s="88" t="s">
        <v>0</v>
      </c>
      <c r="E9" s="87" t="s">
        <v>332</v>
      </c>
      <c r="F9" s="87" t="s">
        <v>333</v>
      </c>
      <c r="G9" s="88" t="s">
        <v>0</v>
      </c>
      <c r="H9" s="87" t="s">
        <v>332</v>
      </c>
      <c r="I9" s="87" t="s">
        <v>333</v>
      </c>
      <c r="J9" s="88" t="s">
        <v>0</v>
      </c>
      <c r="K9" s="171"/>
    </row>
    <row r="10" spans="1:11">
      <c r="A10" s="78"/>
      <c r="B10" s="78"/>
      <c r="C10" s="40"/>
      <c r="D10" s="40"/>
      <c r="E10" s="40"/>
      <c r="F10" s="40"/>
      <c r="G10" s="40"/>
      <c r="H10" s="40"/>
      <c r="I10" s="40"/>
      <c r="J10" s="40"/>
      <c r="K10" s="41"/>
    </row>
    <row r="11" spans="1:11">
      <c r="A11" s="4" t="s">
        <v>0</v>
      </c>
      <c r="B11" s="7">
        <f>SUM(B13:B118)</f>
        <v>5815</v>
      </c>
      <c r="C11" s="89">
        <f t="shared" ref="C11:K11" si="0">SUM(C13:C118)</f>
        <v>6432</v>
      </c>
      <c r="D11" s="89">
        <f t="shared" si="0"/>
        <v>12247</v>
      </c>
      <c r="E11" s="89">
        <f t="shared" si="0"/>
        <v>5786</v>
      </c>
      <c r="F11" s="89">
        <f t="shared" si="0"/>
        <v>743</v>
      </c>
      <c r="G11" s="89">
        <f t="shared" si="0"/>
        <v>6529</v>
      </c>
      <c r="H11" s="89">
        <f t="shared" si="0"/>
        <v>4053</v>
      </c>
      <c r="I11" s="89">
        <f t="shared" si="0"/>
        <v>658</v>
      </c>
      <c r="J11" s="89">
        <f t="shared" si="0"/>
        <v>4711</v>
      </c>
      <c r="K11" s="8">
        <f t="shared" si="0"/>
        <v>23487</v>
      </c>
    </row>
    <row r="12" spans="1:11">
      <c r="A12" s="5"/>
      <c r="B12" s="5"/>
      <c r="C12" s="77"/>
      <c r="D12" s="77"/>
      <c r="E12" s="77"/>
      <c r="F12" s="77"/>
      <c r="G12" s="77"/>
      <c r="H12" s="77"/>
      <c r="I12" s="77"/>
      <c r="J12" s="77"/>
      <c r="K12" s="9"/>
    </row>
    <row r="13" spans="1:11">
      <c r="A13" s="5" t="s">
        <v>189</v>
      </c>
      <c r="B13" s="85">
        <v>49</v>
      </c>
      <c r="C13" s="80">
        <v>36</v>
      </c>
      <c r="D13" s="80">
        <v>85</v>
      </c>
      <c r="E13" s="80">
        <v>34</v>
      </c>
      <c r="F13" s="80">
        <v>5</v>
      </c>
      <c r="G13" s="80">
        <v>39</v>
      </c>
      <c r="H13" s="80">
        <v>77</v>
      </c>
      <c r="I13" s="80">
        <v>19</v>
      </c>
      <c r="J13" s="80">
        <v>96</v>
      </c>
      <c r="K13" s="86">
        <v>220</v>
      </c>
    </row>
    <row r="14" spans="1:11">
      <c r="A14" s="5" t="s">
        <v>52</v>
      </c>
      <c r="B14" s="85">
        <v>0</v>
      </c>
      <c r="C14" s="80">
        <v>0</v>
      </c>
      <c r="D14" s="80">
        <v>0</v>
      </c>
      <c r="E14" s="80">
        <v>0</v>
      </c>
      <c r="F14" s="74">
        <v>0</v>
      </c>
      <c r="G14" s="80">
        <v>0</v>
      </c>
      <c r="H14" s="80">
        <v>1</v>
      </c>
      <c r="I14" s="74">
        <v>0</v>
      </c>
      <c r="J14" s="80">
        <v>1</v>
      </c>
      <c r="K14" s="86">
        <v>1</v>
      </c>
    </row>
    <row r="15" spans="1:11">
      <c r="A15" s="5" t="s">
        <v>246</v>
      </c>
      <c r="B15" s="85">
        <v>1</v>
      </c>
      <c r="C15" s="80">
        <v>2</v>
      </c>
      <c r="D15" s="80">
        <v>3</v>
      </c>
      <c r="E15" s="80">
        <v>0</v>
      </c>
      <c r="F15" s="74">
        <v>0</v>
      </c>
      <c r="G15" s="80">
        <v>0</v>
      </c>
      <c r="H15" s="80">
        <v>0</v>
      </c>
      <c r="I15" s="74">
        <v>0</v>
      </c>
      <c r="J15" s="80">
        <v>0</v>
      </c>
      <c r="K15" s="86">
        <v>3</v>
      </c>
    </row>
    <row r="16" spans="1:11">
      <c r="A16" s="5" t="s">
        <v>322</v>
      </c>
      <c r="B16" s="85">
        <v>19</v>
      </c>
      <c r="C16" s="80">
        <v>1</v>
      </c>
      <c r="D16" s="80">
        <v>20</v>
      </c>
      <c r="E16" s="80">
        <v>0</v>
      </c>
      <c r="F16" s="74">
        <v>0</v>
      </c>
      <c r="G16" s="80">
        <v>0</v>
      </c>
      <c r="H16" s="80">
        <v>0</v>
      </c>
      <c r="I16" s="74">
        <v>0</v>
      </c>
      <c r="J16" s="80">
        <v>0</v>
      </c>
      <c r="K16" s="86">
        <v>20</v>
      </c>
    </row>
    <row r="17" spans="1:11">
      <c r="A17" s="5" t="s">
        <v>323</v>
      </c>
      <c r="B17" s="85">
        <v>0</v>
      </c>
      <c r="C17" s="80">
        <v>0</v>
      </c>
      <c r="D17" s="80">
        <v>0</v>
      </c>
      <c r="E17" s="80">
        <v>0</v>
      </c>
      <c r="F17" s="74">
        <v>0</v>
      </c>
      <c r="G17" s="80">
        <v>0</v>
      </c>
      <c r="H17" s="80">
        <v>2</v>
      </c>
      <c r="I17" s="74">
        <v>0</v>
      </c>
      <c r="J17" s="80">
        <v>2</v>
      </c>
      <c r="K17" s="86">
        <v>2</v>
      </c>
    </row>
    <row r="18" spans="1:11">
      <c r="A18" s="5" t="s">
        <v>107</v>
      </c>
      <c r="B18" s="85">
        <v>33</v>
      </c>
      <c r="C18" s="80">
        <v>10</v>
      </c>
      <c r="D18" s="80">
        <v>43</v>
      </c>
      <c r="E18" s="80">
        <v>37</v>
      </c>
      <c r="F18" s="80">
        <v>5</v>
      </c>
      <c r="G18" s="80">
        <v>42</v>
      </c>
      <c r="H18" s="80">
        <v>81</v>
      </c>
      <c r="I18" s="80">
        <v>20</v>
      </c>
      <c r="J18" s="80">
        <v>101</v>
      </c>
      <c r="K18" s="86">
        <v>186</v>
      </c>
    </row>
    <row r="19" spans="1:11">
      <c r="A19" s="5" t="s">
        <v>235</v>
      </c>
      <c r="B19" s="85">
        <v>2</v>
      </c>
      <c r="C19" s="80">
        <v>0</v>
      </c>
      <c r="D19" s="80">
        <v>2</v>
      </c>
      <c r="E19" s="80">
        <v>4</v>
      </c>
      <c r="F19" s="74">
        <v>0</v>
      </c>
      <c r="G19" s="80">
        <v>4</v>
      </c>
      <c r="H19" s="80">
        <v>2</v>
      </c>
      <c r="I19" s="74">
        <v>0</v>
      </c>
      <c r="J19" s="80">
        <v>2</v>
      </c>
      <c r="K19" s="86">
        <v>8</v>
      </c>
    </row>
    <row r="20" spans="1:11">
      <c r="A20" s="5" t="s">
        <v>191</v>
      </c>
      <c r="B20" s="85">
        <v>1</v>
      </c>
      <c r="C20" s="80">
        <v>5</v>
      </c>
      <c r="D20" s="80">
        <v>6</v>
      </c>
      <c r="E20" s="80">
        <v>6</v>
      </c>
      <c r="F20" s="74">
        <v>0</v>
      </c>
      <c r="G20" s="80">
        <v>6</v>
      </c>
      <c r="H20" s="80">
        <v>11</v>
      </c>
      <c r="I20" s="74">
        <v>0</v>
      </c>
      <c r="J20" s="80">
        <v>11</v>
      </c>
      <c r="K20" s="86">
        <v>23</v>
      </c>
    </row>
    <row r="21" spans="1:11">
      <c r="A21" s="5" t="s">
        <v>143</v>
      </c>
      <c r="B21" s="85">
        <v>0</v>
      </c>
      <c r="C21" s="80">
        <v>0</v>
      </c>
      <c r="D21" s="80">
        <v>0</v>
      </c>
      <c r="E21" s="80">
        <v>0</v>
      </c>
      <c r="F21" s="74">
        <v>0</v>
      </c>
      <c r="G21" s="80">
        <v>0</v>
      </c>
      <c r="H21" s="80">
        <v>1</v>
      </c>
      <c r="I21" s="74">
        <v>0</v>
      </c>
      <c r="J21" s="80">
        <v>1</v>
      </c>
      <c r="K21" s="86">
        <v>1</v>
      </c>
    </row>
    <row r="22" spans="1:11">
      <c r="A22" s="5" t="s">
        <v>109</v>
      </c>
      <c r="B22" s="85">
        <v>1</v>
      </c>
      <c r="C22" s="80">
        <v>0</v>
      </c>
      <c r="D22" s="80">
        <v>1</v>
      </c>
      <c r="E22" s="80">
        <v>0</v>
      </c>
      <c r="F22" s="74">
        <v>0</v>
      </c>
      <c r="G22" s="80">
        <v>0</v>
      </c>
      <c r="H22" s="80">
        <v>0</v>
      </c>
      <c r="I22" s="74">
        <v>0</v>
      </c>
      <c r="J22" s="80">
        <v>0</v>
      </c>
      <c r="K22" s="86">
        <v>1</v>
      </c>
    </row>
    <row r="23" spans="1:11">
      <c r="A23" s="5" t="s">
        <v>144</v>
      </c>
      <c r="B23" s="85">
        <v>2</v>
      </c>
      <c r="C23" s="80">
        <v>0</v>
      </c>
      <c r="D23" s="80">
        <v>2</v>
      </c>
      <c r="E23" s="80">
        <v>0</v>
      </c>
      <c r="F23" s="74">
        <v>0</v>
      </c>
      <c r="G23" s="80">
        <v>0</v>
      </c>
      <c r="H23" s="80">
        <v>0</v>
      </c>
      <c r="I23" s="74">
        <v>0</v>
      </c>
      <c r="J23" s="80">
        <v>0</v>
      </c>
      <c r="K23" s="86">
        <v>2</v>
      </c>
    </row>
    <row r="24" spans="1:11">
      <c r="A24" s="5" t="s">
        <v>192</v>
      </c>
      <c r="B24" s="85">
        <v>2</v>
      </c>
      <c r="C24" s="80">
        <v>4</v>
      </c>
      <c r="D24" s="80">
        <v>6</v>
      </c>
      <c r="E24" s="80">
        <v>4</v>
      </c>
      <c r="F24" s="74">
        <v>0</v>
      </c>
      <c r="G24" s="80">
        <v>4</v>
      </c>
      <c r="H24" s="80">
        <v>8</v>
      </c>
      <c r="I24" s="74">
        <v>0</v>
      </c>
      <c r="J24" s="80">
        <v>8</v>
      </c>
      <c r="K24" s="86">
        <v>18</v>
      </c>
    </row>
    <row r="25" spans="1:11">
      <c r="A25" s="5" t="s">
        <v>111</v>
      </c>
      <c r="B25" s="85">
        <v>4</v>
      </c>
      <c r="C25" s="80">
        <v>1</v>
      </c>
      <c r="D25" s="80">
        <v>5</v>
      </c>
      <c r="E25" s="80">
        <v>1</v>
      </c>
      <c r="F25" s="74">
        <v>0</v>
      </c>
      <c r="G25" s="80">
        <v>1</v>
      </c>
      <c r="H25" s="80">
        <v>0</v>
      </c>
      <c r="I25" s="74">
        <v>0</v>
      </c>
      <c r="J25" s="80">
        <v>0</v>
      </c>
      <c r="K25" s="86">
        <v>6</v>
      </c>
    </row>
    <row r="26" spans="1:11">
      <c r="A26" s="5" t="s">
        <v>112</v>
      </c>
      <c r="B26" s="85">
        <v>0</v>
      </c>
      <c r="C26" s="80">
        <v>0</v>
      </c>
      <c r="D26" s="80">
        <v>0</v>
      </c>
      <c r="E26" s="80">
        <v>0</v>
      </c>
      <c r="F26" s="74">
        <v>0</v>
      </c>
      <c r="G26" s="80">
        <v>0</v>
      </c>
      <c r="H26" s="80">
        <v>2</v>
      </c>
      <c r="I26" s="74">
        <v>0</v>
      </c>
      <c r="J26" s="80">
        <v>2</v>
      </c>
      <c r="K26" s="86">
        <v>2</v>
      </c>
    </row>
    <row r="27" spans="1:11">
      <c r="A27" s="5" t="s">
        <v>193</v>
      </c>
      <c r="B27" s="85">
        <v>0</v>
      </c>
      <c r="C27" s="80">
        <v>0</v>
      </c>
      <c r="D27" s="80">
        <v>0</v>
      </c>
      <c r="E27" s="80">
        <v>0</v>
      </c>
      <c r="F27" s="74">
        <v>0</v>
      </c>
      <c r="G27" s="80">
        <v>0</v>
      </c>
      <c r="H27" s="80">
        <v>1</v>
      </c>
      <c r="I27" s="74">
        <v>0</v>
      </c>
      <c r="J27" s="80">
        <v>1</v>
      </c>
      <c r="K27" s="86">
        <v>1</v>
      </c>
    </row>
    <row r="28" spans="1:11">
      <c r="A28" s="5" t="s">
        <v>113</v>
      </c>
      <c r="B28" s="85">
        <v>17</v>
      </c>
      <c r="C28" s="80">
        <v>1</v>
      </c>
      <c r="D28" s="80">
        <v>18</v>
      </c>
      <c r="E28" s="80">
        <v>4</v>
      </c>
      <c r="F28" s="74">
        <v>0</v>
      </c>
      <c r="G28" s="80">
        <v>4</v>
      </c>
      <c r="H28" s="80">
        <v>10</v>
      </c>
      <c r="I28" s="74">
        <v>0</v>
      </c>
      <c r="J28" s="80">
        <v>10</v>
      </c>
      <c r="K28" s="86">
        <v>32</v>
      </c>
    </row>
    <row r="29" spans="1:11">
      <c r="A29" s="5" t="s">
        <v>114</v>
      </c>
      <c r="B29" s="85">
        <v>15</v>
      </c>
      <c r="C29" s="80">
        <v>2</v>
      </c>
      <c r="D29" s="80">
        <v>17</v>
      </c>
      <c r="E29" s="80">
        <v>38</v>
      </c>
      <c r="F29" s="80">
        <v>6</v>
      </c>
      <c r="G29" s="80">
        <v>44</v>
      </c>
      <c r="H29" s="80">
        <v>79</v>
      </c>
      <c r="I29" s="80">
        <v>14</v>
      </c>
      <c r="J29" s="80">
        <v>93</v>
      </c>
      <c r="K29" s="86">
        <v>154</v>
      </c>
    </row>
    <row r="30" spans="1:11">
      <c r="A30" s="5" t="s">
        <v>145</v>
      </c>
      <c r="B30" s="85">
        <v>0</v>
      </c>
      <c r="C30" s="80">
        <v>0</v>
      </c>
      <c r="D30" s="80">
        <v>0</v>
      </c>
      <c r="E30" s="80">
        <v>0</v>
      </c>
      <c r="F30" s="74">
        <v>0</v>
      </c>
      <c r="G30" s="80">
        <v>0</v>
      </c>
      <c r="H30" s="80">
        <v>1</v>
      </c>
      <c r="I30" s="74">
        <v>0</v>
      </c>
      <c r="J30" s="80">
        <v>1</v>
      </c>
      <c r="K30" s="86">
        <v>1</v>
      </c>
    </row>
    <row r="31" spans="1:11">
      <c r="A31" s="5" t="s">
        <v>60</v>
      </c>
      <c r="B31" s="85">
        <v>1</v>
      </c>
      <c r="C31" s="80">
        <v>0</v>
      </c>
      <c r="D31" s="80">
        <v>1</v>
      </c>
      <c r="E31" s="80">
        <v>1</v>
      </c>
      <c r="F31" s="74">
        <v>0</v>
      </c>
      <c r="G31" s="80">
        <v>1</v>
      </c>
      <c r="H31" s="80">
        <v>0</v>
      </c>
      <c r="I31" s="74">
        <v>0</v>
      </c>
      <c r="J31" s="80">
        <v>0</v>
      </c>
      <c r="K31" s="86">
        <v>2</v>
      </c>
    </row>
    <row r="32" spans="1:11">
      <c r="A32" s="5" t="s">
        <v>115</v>
      </c>
      <c r="B32" s="85">
        <v>16</v>
      </c>
      <c r="C32" s="80">
        <v>7</v>
      </c>
      <c r="D32" s="80">
        <v>23</v>
      </c>
      <c r="E32" s="80">
        <v>61</v>
      </c>
      <c r="F32" s="80">
        <v>9</v>
      </c>
      <c r="G32" s="80">
        <v>70</v>
      </c>
      <c r="H32" s="80">
        <v>303</v>
      </c>
      <c r="I32" s="80">
        <v>40</v>
      </c>
      <c r="J32" s="80">
        <v>343</v>
      </c>
      <c r="K32" s="86">
        <v>436</v>
      </c>
    </row>
    <row r="33" spans="1:11">
      <c r="A33" s="5" t="s">
        <v>116</v>
      </c>
      <c r="B33" s="85">
        <v>10</v>
      </c>
      <c r="C33" s="80">
        <v>0</v>
      </c>
      <c r="D33" s="80">
        <v>10</v>
      </c>
      <c r="E33" s="80">
        <v>14</v>
      </c>
      <c r="F33" s="74">
        <v>0</v>
      </c>
      <c r="G33" s="80">
        <v>14</v>
      </c>
      <c r="H33" s="80">
        <v>49</v>
      </c>
      <c r="I33" s="80">
        <v>15</v>
      </c>
      <c r="J33" s="80">
        <v>64</v>
      </c>
      <c r="K33" s="86">
        <v>88</v>
      </c>
    </row>
    <row r="34" spans="1:11">
      <c r="A34" s="5" t="s">
        <v>147</v>
      </c>
      <c r="B34" s="85">
        <v>1</v>
      </c>
      <c r="C34" s="80">
        <v>0</v>
      </c>
      <c r="D34" s="80">
        <v>1</v>
      </c>
      <c r="E34" s="80">
        <v>0</v>
      </c>
      <c r="F34" s="74">
        <v>0</v>
      </c>
      <c r="G34" s="80">
        <v>0</v>
      </c>
      <c r="H34" s="80">
        <v>0</v>
      </c>
      <c r="I34" s="74">
        <v>0</v>
      </c>
      <c r="J34" s="80">
        <v>0</v>
      </c>
      <c r="K34" s="86">
        <v>1</v>
      </c>
    </row>
    <row r="35" spans="1:11">
      <c r="A35" s="5" t="s">
        <v>28</v>
      </c>
      <c r="B35" s="85">
        <v>104</v>
      </c>
      <c r="C35" s="80">
        <v>41</v>
      </c>
      <c r="D35" s="80">
        <v>145</v>
      </c>
      <c r="E35" s="80">
        <v>233</v>
      </c>
      <c r="F35" s="80">
        <v>41</v>
      </c>
      <c r="G35" s="80">
        <v>274</v>
      </c>
      <c r="H35" s="80">
        <v>173</v>
      </c>
      <c r="I35" s="80">
        <v>35</v>
      </c>
      <c r="J35" s="80">
        <v>208</v>
      </c>
      <c r="K35" s="86">
        <v>627</v>
      </c>
    </row>
    <row r="36" spans="1:11">
      <c r="A36" s="5" t="s">
        <v>62</v>
      </c>
      <c r="B36" s="85">
        <v>0</v>
      </c>
      <c r="C36" s="80">
        <v>0</v>
      </c>
      <c r="D36" s="80">
        <v>0</v>
      </c>
      <c r="E36" s="80">
        <v>0</v>
      </c>
      <c r="F36" s="74">
        <v>0</v>
      </c>
      <c r="G36" s="80">
        <v>0</v>
      </c>
      <c r="H36" s="80">
        <v>1</v>
      </c>
      <c r="I36" s="74">
        <v>0</v>
      </c>
      <c r="J36" s="80">
        <v>1</v>
      </c>
      <c r="K36" s="86">
        <v>1</v>
      </c>
    </row>
    <row r="37" spans="1:11">
      <c r="A37" s="5" t="s">
        <v>196</v>
      </c>
      <c r="B37" s="85">
        <v>0</v>
      </c>
      <c r="C37" s="80">
        <v>0</v>
      </c>
      <c r="D37" s="80">
        <v>0</v>
      </c>
      <c r="E37" s="80">
        <v>1</v>
      </c>
      <c r="F37" s="74">
        <v>0</v>
      </c>
      <c r="G37" s="80">
        <v>1</v>
      </c>
      <c r="H37" s="80">
        <v>0</v>
      </c>
      <c r="I37" s="74">
        <v>0</v>
      </c>
      <c r="J37" s="80">
        <v>0</v>
      </c>
      <c r="K37" s="86">
        <v>1</v>
      </c>
    </row>
    <row r="38" spans="1:11">
      <c r="A38" s="5" t="s">
        <v>30</v>
      </c>
      <c r="B38" s="85">
        <v>127</v>
      </c>
      <c r="C38" s="80">
        <v>13</v>
      </c>
      <c r="D38" s="80">
        <v>140</v>
      </c>
      <c r="E38" s="80">
        <v>39</v>
      </c>
      <c r="F38" s="80">
        <v>6</v>
      </c>
      <c r="G38" s="80">
        <v>45</v>
      </c>
      <c r="H38" s="80">
        <v>12</v>
      </c>
      <c r="I38" s="80">
        <v>2</v>
      </c>
      <c r="J38" s="80">
        <v>14</v>
      </c>
      <c r="K38" s="86">
        <v>199</v>
      </c>
    </row>
    <row r="39" spans="1:11">
      <c r="A39" s="5" t="s">
        <v>197</v>
      </c>
      <c r="B39" s="85">
        <v>1</v>
      </c>
      <c r="C39" s="80">
        <v>4</v>
      </c>
      <c r="D39" s="80">
        <v>5</v>
      </c>
      <c r="E39" s="80">
        <v>2</v>
      </c>
      <c r="F39" s="74">
        <v>0</v>
      </c>
      <c r="G39" s="80">
        <v>2</v>
      </c>
      <c r="H39" s="80">
        <v>0</v>
      </c>
      <c r="I39" s="74">
        <v>0</v>
      </c>
      <c r="J39" s="80">
        <v>0</v>
      </c>
      <c r="K39" s="86">
        <v>7</v>
      </c>
    </row>
    <row r="40" spans="1:11">
      <c r="A40" s="5" t="s">
        <v>31</v>
      </c>
      <c r="B40" s="85">
        <v>38</v>
      </c>
      <c r="C40" s="80">
        <v>3</v>
      </c>
      <c r="D40" s="80">
        <v>41</v>
      </c>
      <c r="E40" s="80">
        <v>15</v>
      </c>
      <c r="F40" s="74">
        <v>0</v>
      </c>
      <c r="G40" s="80">
        <v>15</v>
      </c>
      <c r="H40" s="80">
        <v>29</v>
      </c>
      <c r="I40" s="80">
        <v>7</v>
      </c>
      <c r="J40" s="80">
        <v>36</v>
      </c>
      <c r="K40" s="86">
        <v>92</v>
      </c>
    </row>
    <row r="41" spans="1:11">
      <c r="A41" s="5" t="s">
        <v>63</v>
      </c>
      <c r="B41" s="85">
        <v>1</v>
      </c>
      <c r="C41" s="80">
        <v>0</v>
      </c>
      <c r="D41" s="80">
        <v>1</v>
      </c>
      <c r="E41" s="80">
        <v>0</v>
      </c>
      <c r="F41" s="74">
        <v>0</v>
      </c>
      <c r="G41" s="80">
        <v>0</v>
      </c>
      <c r="H41" s="80">
        <v>3</v>
      </c>
      <c r="I41" s="74">
        <v>0</v>
      </c>
      <c r="J41" s="80">
        <v>3</v>
      </c>
      <c r="K41" s="86">
        <v>4</v>
      </c>
    </row>
    <row r="42" spans="1:11">
      <c r="A42" s="5" t="s">
        <v>32</v>
      </c>
      <c r="B42" s="85">
        <v>184</v>
      </c>
      <c r="C42" s="80">
        <v>143</v>
      </c>
      <c r="D42" s="80">
        <v>327</v>
      </c>
      <c r="E42" s="80">
        <v>132</v>
      </c>
      <c r="F42" s="80">
        <v>22</v>
      </c>
      <c r="G42" s="80">
        <v>154</v>
      </c>
      <c r="H42" s="80">
        <v>96</v>
      </c>
      <c r="I42" s="80">
        <v>3</v>
      </c>
      <c r="J42" s="80">
        <v>99</v>
      </c>
      <c r="K42" s="86">
        <v>580</v>
      </c>
    </row>
    <row r="43" spans="1:11">
      <c r="A43" s="5" t="s">
        <v>198</v>
      </c>
      <c r="B43" s="85">
        <v>1</v>
      </c>
      <c r="C43" s="80">
        <v>1</v>
      </c>
      <c r="D43" s="80">
        <v>2</v>
      </c>
      <c r="E43" s="80">
        <v>3</v>
      </c>
      <c r="F43" s="74">
        <v>0</v>
      </c>
      <c r="G43" s="80">
        <v>3</v>
      </c>
      <c r="H43" s="80">
        <v>1</v>
      </c>
      <c r="I43" s="74">
        <v>0</v>
      </c>
      <c r="J43" s="80">
        <v>1</v>
      </c>
      <c r="K43" s="86">
        <v>6</v>
      </c>
    </row>
    <row r="44" spans="1:11">
      <c r="A44" s="5" t="s">
        <v>200</v>
      </c>
      <c r="B44" s="85">
        <v>33</v>
      </c>
      <c r="C44" s="80">
        <v>7</v>
      </c>
      <c r="D44" s="80">
        <v>40</v>
      </c>
      <c r="E44" s="80">
        <v>32</v>
      </c>
      <c r="F44" s="80">
        <v>4</v>
      </c>
      <c r="G44" s="80">
        <v>36</v>
      </c>
      <c r="H44" s="80">
        <v>91</v>
      </c>
      <c r="I44" s="80">
        <v>24</v>
      </c>
      <c r="J44" s="80">
        <v>115</v>
      </c>
      <c r="K44" s="86">
        <v>191</v>
      </c>
    </row>
    <row r="45" spans="1:11">
      <c r="A45" s="5" t="s">
        <v>26</v>
      </c>
      <c r="B45" s="85">
        <v>196</v>
      </c>
      <c r="C45" s="80">
        <v>61</v>
      </c>
      <c r="D45" s="80">
        <v>257</v>
      </c>
      <c r="E45" s="80">
        <v>259</v>
      </c>
      <c r="F45" s="80">
        <v>50</v>
      </c>
      <c r="G45" s="80">
        <v>309</v>
      </c>
      <c r="H45" s="80">
        <v>1354</v>
      </c>
      <c r="I45" s="80">
        <v>208</v>
      </c>
      <c r="J45" s="80">
        <v>1562</v>
      </c>
      <c r="K45" s="86">
        <v>2128</v>
      </c>
    </row>
    <row r="46" spans="1:11">
      <c r="A46" s="5" t="s">
        <v>201</v>
      </c>
      <c r="B46" s="85">
        <v>0</v>
      </c>
      <c r="C46" s="80">
        <v>0</v>
      </c>
      <c r="D46" s="80">
        <v>0</v>
      </c>
      <c r="E46" s="80">
        <v>0</v>
      </c>
      <c r="F46" s="74">
        <v>0</v>
      </c>
      <c r="G46" s="80">
        <v>0</v>
      </c>
      <c r="H46" s="80">
        <v>2</v>
      </c>
      <c r="I46" s="80">
        <v>3</v>
      </c>
      <c r="J46" s="80">
        <v>5</v>
      </c>
      <c r="K46" s="86">
        <v>5</v>
      </c>
    </row>
    <row r="47" spans="1:11">
      <c r="A47" s="5" t="s">
        <v>65</v>
      </c>
      <c r="B47" s="85">
        <v>1</v>
      </c>
      <c r="C47" s="80">
        <v>0</v>
      </c>
      <c r="D47" s="80">
        <v>1</v>
      </c>
      <c r="E47" s="80">
        <v>0</v>
      </c>
      <c r="F47" s="74">
        <v>0</v>
      </c>
      <c r="G47" s="80">
        <v>0</v>
      </c>
      <c r="H47" s="80">
        <v>0</v>
      </c>
      <c r="I47" s="74">
        <v>0</v>
      </c>
      <c r="J47" s="80">
        <v>0</v>
      </c>
      <c r="K47" s="86">
        <v>1</v>
      </c>
    </row>
    <row r="48" spans="1:11">
      <c r="A48" s="5" t="s">
        <v>202</v>
      </c>
      <c r="B48" s="85">
        <v>3</v>
      </c>
      <c r="C48" s="80">
        <v>2</v>
      </c>
      <c r="D48" s="80">
        <v>5</v>
      </c>
      <c r="E48" s="80">
        <v>19</v>
      </c>
      <c r="F48" s="80">
        <v>3</v>
      </c>
      <c r="G48" s="80">
        <v>22</v>
      </c>
      <c r="H48" s="80">
        <v>23</v>
      </c>
      <c r="I48" s="80">
        <v>2</v>
      </c>
      <c r="J48" s="80">
        <v>25</v>
      </c>
      <c r="K48" s="86">
        <v>52</v>
      </c>
    </row>
    <row r="49" spans="1:11">
      <c r="A49" s="5" t="s">
        <v>149</v>
      </c>
      <c r="B49" s="85">
        <v>7</v>
      </c>
      <c r="C49" s="80">
        <v>0</v>
      </c>
      <c r="D49" s="80">
        <v>7</v>
      </c>
      <c r="E49" s="80">
        <v>6</v>
      </c>
      <c r="F49" s="80">
        <v>1</v>
      </c>
      <c r="G49" s="80">
        <v>7</v>
      </c>
      <c r="H49" s="80">
        <v>17</v>
      </c>
      <c r="I49" s="80">
        <v>1</v>
      </c>
      <c r="J49" s="80">
        <v>18</v>
      </c>
      <c r="K49" s="86">
        <v>32</v>
      </c>
    </row>
    <row r="50" spans="1:11">
      <c r="A50" s="5" t="s">
        <v>203</v>
      </c>
      <c r="B50" s="85">
        <v>4</v>
      </c>
      <c r="C50" s="80">
        <v>3</v>
      </c>
      <c r="D50" s="80">
        <v>7</v>
      </c>
      <c r="E50" s="80">
        <v>2</v>
      </c>
      <c r="F50" s="74">
        <v>0</v>
      </c>
      <c r="G50" s="80">
        <v>2</v>
      </c>
      <c r="H50" s="80">
        <v>3</v>
      </c>
      <c r="I50" s="80">
        <v>2</v>
      </c>
      <c r="J50" s="80">
        <v>5</v>
      </c>
      <c r="K50" s="86">
        <v>14</v>
      </c>
    </row>
    <row r="51" spans="1:11">
      <c r="A51" s="5" t="s">
        <v>204</v>
      </c>
      <c r="B51" s="85">
        <v>20</v>
      </c>
      <c r="C51" s="80">
        <v>8</v>
      </c>
      <c r="D51" s="80">
        <v>28</v>
      </c>
      <c r="E51" s="80">
        <v>30</v>
      </c>
      <c r="F51" s="80">
        <v>6</v>
      </c>
      <c r="G51" s="80">
        <v>36</v>
      </c>
      <c r="H51" s="80">
        <v>80</v>
      </c>
      <c r="I51" s="80">
        <v>20</v>
      </c>
      <c r="J51" s="80">
        <v>100</v>
      </c>
      <c r="K51" s="86">
        <v>164</v>
      </c>
    </row>
    <row r="52" spans="1:11">
      <c r="A52" s="5" t="s">
        <v>66</v>
      </c>
      <c r="B52" s="85">
        <v>0</v>
      </c>
      <c r="C52" s="80">
        <v>0</v>
      </c>
      <c r="D52" s="80">
        <v>0</v>
      </c>
      <c r="E52" s="80">
        <v>0</v>
      </c>
      <c r="F52" s="74">
        <v>0</v>
      </c>
      <c r="G52" s="80">
        <v>0</v>
      </c>
      <c r="H52" s="80">
        <v>1</v>
      </c>
      <c r="I52" s="74">
        <v>0</v>
      </c>
      <c r="J52" s="80">
        <v>1</v>
      </c>
      <c r="K52" s="86">
        <v>1</v>
      </c>
    </row>
    <row r="53" spans="1:11">
      <c r="A53" s="5" t="s">
        <v>121</v>
      </c>
      <c r="B53" s="85">
        <v>113</v>
      </c>
      <c r="C53" s="80">
        <v>16</v>
      </c>
      <c r="D53" s="80">
        <v>129</v>
      </c>
      <c r="E53" s="80">
        <v>20</v>
      </c>
      <c r="F53" s="80">
        <v>4</v>
      </c>
      <c r="G53" s="80">
        <v>24</v>
      </c>
      <c r="H53" s="80">
        <v>63</v>
      </c>
      <c r="I53" s="80">
        <v>14</v>
      </c>
      <c r="J53" s="80">
        <v>77</v>
      </c>
      <c r="K53" s="86">
        <v>230</v>
      </c>
    </row>
    <row r="54" spans="1:11">
      <c r="A54" s="5" t="s">
        <v>123</v>
      </c>
      <c r="B54" s="85">
        <v>4</v>
      </c>
      <c r="C54" s="80">
        <v>0</v>
      </c>
      <c r="D54" s="80">
        <v>4</v>
      </c>
      <c r="E54" s="80">
        <v>3</v>
      </c>
      <c r="F54" s="74">
        <v>0</v>
      </c>
      <c r="G54" s="80">
        <v>3</v>
      </c>
      <c r="H54" s="80">
        <v>2</v>
      </c>
      <c r="I54" s="74">
        <v>0</v>
      </c>
      <c r="J54" s="80">
        <v>2</v>
      </c>
      <c r="K54" s="86">
        <v>9</v>
      </c>
    </row>
    <row r="55" spans="1:11">
      <c r="A55" s="5" t="s">
        <v>124</v>
      </c>
      <c r="B55" s="85">
        <v>131</v>
      </c>
      <c r="C55" s="80">
        <v>54</v>
      </c>
      <c r="D55" s="80">
        <v>185</v>
      </c>
      <c r="E55" s="80">
        <v>69</v>
      </c>
      <c r="F55" s="80">
        <v>17</v>
      </c>
      <c r="G55" s="80">
        <v>86</v>
      </c>
      <c r="H55" s="80">
        <v>65</v>
      </c>
      <c r="I55" s="80">
        <v>13</v>
      </c>
      <c r="J55" s="80">
        <v>78</v>
      </c>
      <c r="K55" s="86">
        <v>349</v>
      </c>
    </row>
    <row r="56" spans="1:11">
      <c r="A56" s="5" t="s">
        <v>206</v>
      </c>
      <c r="B56" s="85">
        <v>0</v>
      </c>
      <c r="C56" s="80">
        <v>2</v>
      </c>
      <c r="D56" s="80">
        <v>2</v>
      </c>
      <c r="E56" s="80">
        <v>6</v>
      </c>
      <c r="F56" s="80">
        <v>2</v>
      </c>
      <c r="G56" s="80">
        <v>8</v>
      </c>
      <c r="H56" s="80">
        <v>4</v>
      </c>
      <c r="I56" s="80">
        <v>5</v>
      </c>
      <c r="J56" s="80">
        <v>9</v>
      </c>
      <c r="K56" s="86">
        <v>19</v>
      </c>
    </row>
    <row r="57" spans="1:11">
      <c r="A57" s="5" t="s">
        <v>33</v>
      </c>
      <c r="B57" s="85">
        <v>5</v>
      </c>
      <c r="C57" s="80">
        <v>3</v>
      </c>
      <c r="D57" s="80">
        <v>8</v>
      </c>
      <c r="E57" s="80">
        <v>19</v>
      </c>
      <c r="F57" s="80">
        <v>1</v>
      </c>
      <c r="G57" s="80">
        <v>20</v>
      </c>
      <c r="H57" s="80">
        <v>95</v>
      </c>
      <c r="I57" s="80">
        <v>19</v>
      </c>
      <c r="J57" s="80">
        <v>114</v>
      </c>
      <c r="K57" s="86">
        <v>142</v>
      </c>
    </row>
    <row r="58" spans="1:11">
      <c r="A58" s="5" t="s">
        <v>152</v>
      </c>
      <c r="B58" s="85">
        <v>1</v>
      </c>
      <c r="C58" s="80">
        <v>1</v>
      </c>
      <c r="D58" s="80">
        <v>2</v>
      </c>
      <c r="E58" s="80">
        <v>0</v>
      </c>
      <c r="F58" s="74">
        <v>0</v>
      </c>
      <c r="G58" s="80">
        <v>0</v>
      </c>
      <c r="H58" s="80">
        <v>2</v>
      </c>
      <c r="I58" s="74">
        <v>0</v>
      </c>
      <c r="J58" s="80">
        <v>2</v>
      </c>
      <c r="K58" s="86">
        <v>4</v>
      </c>
    </row>
    <row r="59" spans="1:11">
      <c r="A59" s="5" t="s">
        <v>153</v>
      </c>
      <c r="B59" s="85">
        <v>0</v>
      </c>
      <c r="C59" s="80">
        <v>0</v>
      </c>
      <c r="D59" s="80">
        <v>0</v>
      </c>
      <c r="E59" s="80">
        <v>1</v>
      </c>
      <c r="F59" s="74">
        <v>0</v>
      </c>
      <c r="G59" s="80">
        <v>1</v>
      </c>
      <c r="H59" s="80">
        <v>3</v>
      </c>
      <c r="I59" s="74">
        <v>0</v>
      </c>
      <c r="J59" s="80">
        <v>3</v>
      </c>
      <c r="K59" s="86">
        <v>4</v>
      </c>
    </row>
    <row r="60" spans="1:11">
      <c r="A60" s="5" t="s">
        <v>207</v>
      </c>
      <c r="B60" s="85">
        <v>1</v>
      </c>
      <c r="C60" s="80">
        <v>1</v>
      </c>
      <c r="D60" s="80">
        <v>2</v>
      </c>
      <c r="E60" s="80">
        <v>5</v>
      </c>
      <c r="F60" s="74">
        <v>0</v>
      </c>
      <c r="G60" s="80">
        <v>5</v>
      </c>
      <c r="H60" s="80">
        <v>1</v>
      </c>
      <c r="I60" s="74">
        <v>0</v>
      </c>
      <c r="J60" s="80">
        <v>1</v>
      </c>
      <c r="K60" s="86">
        <v>8</v>
      </c>
    </row>
    <row r="61" spans="1:11">
      <c r="A61" s="5" t="s">
        <v>208</v>
      </c>
      <c r="B61" s="85">
        <v>0</v>
      </c>
      <c r="C61" s="80">
        <v>2</v>
      </c>
      <c r="D61" s="80">
        <v>2</v>
      </c>
      <c r="E61" s="80">
        <v>0</v>
      </c>
      <c r="F61" s="74">
        <v>0</v>
      </c>
      <c r="G61" s="80">
        <v>0</v>
      </c>
      <c r="H61" s="80">
        <v>0</v>
      </c>
      <c r="I61" s="74">
        <v>0</v>
      </c>
      <c r="J61" s="80">
        <v>0</v>
      </c>
      <c r="K61" s="86">
        <v>2</v>
      </c>
    </row>
    <row r="62" spans="1:11">
      <c r="A62" s="5" t="s">
        <v>155</v>
      </c>
      <c r="B62" s="85">
        <v>1</v>
      </c>
      <c r="C62" s="80">
        <v>2</v>
      </c>
      <c r="D62" s="80">
        <v>3</v>
      </c>
      <c r="E62" s="80">
        <v>11</v>
      </c>
      <c r="F62" s="80">
        <v>1</v>
      </c>
      <c r="G62" s="80">
        <v>12</v>
      </c>
      <c r="H62" s="80">
        <v>28</v>
      </c>
      <c r="I62" s="80">
        <v>14</v>
      </c>
      <c r="J62" s="80">
        <v>42</v>
      </c>
      <c r="K62" s="86">
        <v>57</v>
      </c>
    </row>
    <row r="63" spans="1:11">
      <c r="A63" s="5" t="s">
        <v>209</v>
      </c>
      <c r="B63" s="85">
        <v>23</v>
      </c>
      <c r="C63" s="80">
        <v>31</v>
      </c>
      <c r="D63" s="80">
        <v>54</v>
      </c>
      <c r="E63" s="80">
        <v>26</v>
      </c>
      <c r="F63" s="80">
        <v>5</v>
      </c>
      <c r="G63" s="80">
        <v>31</v>
      </c>
      <c r="H63" s="80">
        <v>57</v>
      </c>
      <c r="I63" s="80">
        <v>6</v>
      </c>
      <c r="J63" s="80">
        <v>63</v>
      </c>
      <c r="K63" s="86">
        <v>148</v>
      </c>
    </row>
    <row r="64" spans="1:11">
      <c r="A64" s="5" t="s">
        <v>126</v>
      </c>
      <c r="B64" s="85">
        <v>3</v>
      </c>
      <c r="C64" s="80">
        <v>2</v>
      </c>
      <c r="D64" s="80">
        <v>5</v>
      </c>
      <c r="E64" s="80">
        <v>4</v>
      </c>
      <c r="F64" s="74">
        <v>0</v>
      </c>
      <c r="G64" s="80">
        <v>4</v>
      </c>
      <c r="H64" s="80">
        <v>2</v>
      </c>
      <c r="I64" s="74">
        <v>0</v>
      </c>
      <c r="J64" s="80">
        <v>2</v>
      </c>
      <c r="K64" s="86">
        <v>11</v>
      </c>
    </row>
    <row r="65" spans="1:11">
      <c r="A65" s="5" t="s">
        <v>156</v>
      </c>
      <c r="B65" s="85">
        <v>0</v>
      </c>
      <c r="C65" s="80">
        <v>0</v>
      </c>
      <c r="D65" s="80">
        <v>0</v>
      </c>
      <c r="E65" s="80">
        <v>3</v>
      </c>
      <c r="F65" s="74">
        <v>0</v>
      </c>
      <c r="G65" s="80">
        <v>3</v>
      </c>
      <c r="H65" s="80">
        <v>11</v>
      </c>
      <c r="I65" s="80">
        <v>2</v>
      </c>
      <c r="J65" s="80">
        <v>13</v>
      </c>
      <c r="K65" s="86">
        <v>16</v>
      </c>
    </row>
    <row r="66" spans="1:11">
      <c r="A66" s="5" t="s">
        <v>158</v>
      </c>
      <c r="B66" s="85">
        <v>0</v>
      </c>
      <c r="C66" s="80">
        <v>0</v>
      </c>
      <c r="D66" s="80">
        <v>0</v>
      </c>
      <c r="E66" s="80">
        <v>0</v>
      </c>
      <c r="F66" s="74">
        <v>0</v>
      </c>
      <c r="G66" s="80">
        <v>0</v>
      </c>
      <c r="H66" s="80">
        <v>1</v>
      </c>
      <c r="I66" s="74">
        <v>0</v>
      </c>
      <c r="J66" s="80">
        <v>1</v>
      </c>
      <c r="K66" s="86">
        <v>1</v>
      </c>
    </row>
    <row r="67" spans="1:11">
      <c r="A67" s="5" t="s">
        <v>70</v>
      </c>
      <c r="B67" s="85">
        <v>3</v>
      </c>
      <c r="C67" s="80">
        <v>1</v>
      </c>
      <c r="D67" s="80">
        <v>4</v>
      </c>
      <c r="E67" s="80">
        <v>0</v>
      </c>
      <c r="F67" s="74">
        <v>0</v>
      </c>
      <c r="G67" s="80">
        <v>0</v>
      </c>
      <c r="H67" s="80">
        <v>1</v>
      </c>
      <c r="I67" s="74">
        <v>0</v>
      </c>
      <c r="J67" s="80">
        <v>1</v>
      </c>
      <c r="K67" s="86">
        <v>5</v>
      </c>
    </row>
    <row r="68" spans="1:11">
      <c r="A68" s="5" t="s">
        <v>161</v>
      </c>
      <c r="B68" s="85">
        <v>1</v>
      </c>
      <c r="C68" s="80">
        <v>0</v>
      </c>
      <c r="D68" s="80">
        <v>1</v>
      </c>
      <c r="E68" s="80">
        <v>1</v>
      </c>
      <c r="F68" s="74">
        <v>0</v>
      </c>
      <c r="G68" s="80">
        <v>1</v>
      </c>
      <c r="H68" s="80">
        <v>2</v>
      </c>
      <c r="I68" s="74">
        <v>0</v>
      </c>
      <c r="J68" s="80">
        <v>2</v>
      </c>
      <c r="K68" s="86">
        <v>4</v>
      </c>
    </row>
    <row r="69" spans="1:11">
      <c r="A69" s="5" t="s">
        <v>213</v>
      </c>
      <c r="B69" s="85">
        <v>0</v>
      </c>
      <c r="C69" s="80">
        <v>1</v>
      </c>
      <c r="D69" s="80">
        <v>1</v>
      </c>
      <c r="E69" s="80">
        <v>0</v>
      </c>
      <c r="F69" s="74">
        <v>0</v>
      </c>
      <c r="G69" s="80">
        <v>0</v>
      </c>
      <c r="H69" s="80">
        <v>0</v>
      </c>
      <c r="I69" s="74">
        <v>0</v>
      </c>
      <c r="J69" s="80">
        <v>0</v>
      </c>
      <c r="K69" s="86">
        <v>1</v>
      </c>
    </row>
    <row r="70" spans="1:11">
      <c r="A70" s="5" t="s">
        <v>214</v>
      </c>
      <c r="B70" s="85">
        <v>0</v>
      </c>
      <c r="C70" s="80">
        <v>0</v>
      </c>
      <c r="D70" s="80">
        <v>0</v>
      </c>
      <c r="E70" s="80">
        <v>1</v>
      </c>
      <c r="F70" s="74">
        <v>0</v>
      </c>
      <c r="G70" s="80">
        <v>1</v>
      </c>
      <c r="H70" s="80">
        <v>0</v>
      </c>
      <c r="I70" s="74">
        <v>0</v>
      </c>
      <c r="J70" s="80">
        <v>0</v>
      </c>
      <c r="K70" s="86">
        <v>1</v>
      </c>
    </row>
    <row r="71" spans="1:11">
      <c r="A71" s="5" t="s">
        <v>162</v>
      </c>
      <c r="B71" s="85">
        <v>0</v>
      </c>
      <c r="C71" s="80">
        <v>0</v>
      </c>
      <c r="D71" s="80">
        <v>0</v>
      </c>
      <c r="E71" s="80">
        <v>0</v>
      </c>
      <c r="F71" s="74">
        <v>0</v>
      </c>
      <c r="G71" s="80">
        <v>0</v>
      </c>
      <c r="H71" s="80">
        <v>1</v>
      </c>
      <c r="I71" s="74">
        <v>0</v>
      </c>
      <c r="J71" s="80">
        <v>1</v>
      </c>
      <c r="K71" s="86">
        <v>1</v>
      </c>
    </row>
    <row r="72" spans="1:11">
      <c r="A72" s="5" t="s">
        <v>76</v>
      </c>
      <c r="B72" s="85">
        <v>1</v>
      </c>
      <c r="C72" s="80">
        <v>0</v>
      </c>
      <c r="D72" s="80">
        <v>1</v>
      </c>
      <c r="E72" s="80">
        <v>0</v>
      </c>
      <c r="F72" s="74">
        <v>0</v>
      </c>
      <c r="G72" s="80">
        <v>0</v>
      </c>
      <c r="H72" s="80">
        <v>0</v>
      </c>
      <c r="I72" s="74">
        <v>0</v>
      </c>
      <c r="J72" s="80">
        <v>0</v>
      </c>
      <c r="K72" s="86">
        <v>1</v>
      </c>
    </row>
    <row r="73" spans="1:11">
      <c r="A73" s="5" t="s">
        <v>78</v>
      </c>
      <c r="B73" s="85">
        <v>0</v>
      </c>
      <c r="C73" s="80">
        <v>1</v>
      </c>
      <c r="D73" s="80">
        <v>1</v>
      </c>
      <c r="E73" s="80">
        <v>0</v>
      </c>
      <c r="F73" s="74">
        <v>0</v>
      </c>
      <c r="G73" s="80">
        <v>0</v>
      </c>
      <c r="H73" s="80">
        <v>6</v>
      </c>
      <c r="I73" s="80">
        <v>1</v>
      </c>
      <c r="J73" s="80">
        <v>7</v>
      </c>
      <c r="K73" s="86">
        <v>8</v>
      </c>
    </row>
    <row r="74" spans="1:11">
      <c r="A74" s="5" t="s">
        <v>127</v>
      </c>
      <c r="B74" s="85">
        <v>51</v>
      </c>
      <c r="C74" s="80">
        <v>11</v>
      </c>
      <c r="D74" s="80">
        <v>62</v>
      </c>
      <c r="E74" s="80">
        <v>69</v>
      </c>
      <c r="F74" s="80">
        <v>12</v>
      </c>
      <c r="G74" s="80">
        <v>81</v>
      </c>
      <c r="H74" s="80">
        <v>178</v>
      </c>
      <c r="I74" s="80">
        <v>41</v>
      </c>
      <c r="J74" s="80">
        <v>219</v>
      </c>
      <c r="K74" s="86">
        <v>362</v>
      </c>
    </row>
    <row r="75" spans="1:11">
      <c r="A75" s="5" t="s">
        <v>166</v>
      </c>
      <c r="B75" s="85">
        <v>2</v>
      </c>
      <c r="C75" s="80">
        <v>0</v>
      </c>
      <c r="D75" s="80">
        <v>2</v>
      </c>
      <c r="E75" s="80">
        <v>0</v>
      </c>
      <c r="F75" s="74">
        <v>0</v>
      </c>
      <c r="G75" s="80">
        <v>0</v>
      </c>
      <c r="H75" s="80">
        <v>0</v>
      </c>
      <c r="I75" s="74">
        <v>0</v>
      </c>
      <c r="J75" s="80">
        <v>0</v>
      </c>
      <c r="K75" s="86">
        <v>2</v>
      </c>
    </row>
    <row r="76" spans="1:11">
      <c r="A76" s="5" t="s">
        <v>167</v>
      </c>
      <c r="B76" s="85">
        <v>2</v>
      </c>
      <c r="C76" s="80">
        <v>0</v>
      </c>
      <c r="D76" s="80">
        <v>2</v>
      </c>
      <c r="E76" s="80">
        <v>0</v>
      </c>
      <c r="F76" s="74">
        <v>0</v>
      </c>
      <c r="G76" s="80">
        <v>0</v>
      </c>
      <c r="H76" s="80">
        <v>0</v>
      </c>
      <c r="I76" s="74">
        <v>0</v>
      </c>
      <c r="J76" s="80">
        <v>0</v>
      </c>
      <c r="K76" s="86">
        <v>2</v>
      </c>
    </row>
    <row r="77" spans="1:11">
      <c r="A77" s="5" t="s">
        <v>25</v>
      </c>
      <c r="B77" s="85">
        <v>3567</v>
      </c>
      <c r="C77" s="80">
        <v>5580</v>
      </c>
      <c r="D77" s="80">
        <v>9147</v>
      </c>
      <c r="E77" s="80">
        <v>3152</v>
      </c>
      <c r="F77" s="80">
        <v>304</v>
      </c>
      <c r="G77" s="80">
        <v>3456</v>
      </c>
      <c r="H77" s="80">
        <v>283</v>
      </c>
      <c r="I77" s="80">
        <v>12</v>
      </c>
      <c r="J77" s="80">
        <v>295</v>
      </c>
      <c r="K77" s="86">
        <v>12898</v>
      </c>
    </row>
    <row r="78" spans="1:11">
      <c r="A78" s="5" t="s">
        <v>83</v>
      </c>
      <c r="B78" s="85">
        <v>1</v>
      </c>
      <c r="C78" s="80">
        <v>1</v>
      </c>
      <c r="D78" s="80">
        <v>2</v>
      </c>
      <c r="E78" s="80">
        <v>0</v>
      </c>
      <c r="F78" s="74">
        <v>0</v>
      </c>
      <c r="G78" s="80">
        <v>0</v>
      </c>
      <c r="H78" s="80">
        <v>0</v>
      </c>
      <c r="I78" s="74">
        <v>0</v>
      </c>
      <c r="J78" s="80">
        <v>0</v>
      </c>
      <c r="K78" s="86">
        <v>2</v>
      </c>
    </row>
    <row r="79" spans="1:11">
      <c r="A79" s="5" t="s">
        <v>218</v>
      </c>
      <c r="B79" s="85">
        <v>1</v>
      </c>
      <c r="C79" s="80">
        <v>3</v>
      </c>
      <c r="D79" s="80">
        <v>4</v>
      </c>
      <c r="E79" s="80">
        <v>1</v>
      </c>
      <c r="F79" s="74">
        <v>0</v>
      </c>
      <c r="G79" s="80">
        <v>1</v>
      </c>
      <c r="H79" s="80">
        <v>2</v>
      </c>
      <c r="I79" s="74">
        <v>0</v>
      </c>
      <c r="J79" s="80">
        <v>2</v>
      </c>
      <c r="K79" s="86">
        <v>7</v>
      </c>
    </row>
    <row r="80" spans="1:11">
      <c r="A80" s="5" t="s">
        <v>242</v>
      </c>
      <c r="B80" s="85">
        <v>0</v>
      </c>
      <c r="C80" s="80">
        <v>0</v>
      </c>
      <c r="D80" s="80">
        <v>0</v>
      </c>
      <c r="E80" s="80">
        <v>1</v>
      </c>
      <c r="F80" s="74">
        <v>0</v>
      </c>
      <c r="G80" s="80">
        <v>1</v>
      </c>
      <c r="H80" s="80">
        <v>2</v>
      </c>
      <c r="I80" s="74">
        <v>0</v>
      </c>
      <c r="J80" s="80">
        <v>2</v>
      </c>
      <c r="K80" s="86">
        <v>3</v>
      </c>
    </row>
    <row r="81" spans="1:11">
      <c r="A81" s="5" t="s">
        <v>219</v>
      </c>
      <c r="B81" s="85">
        <v>7</v>
      </c>
      <c r="C81" s="80">
        <v>1</v>
      </c>
      <c r="D81" s="80">
        <v>8</v>
      </c>
      <c r="E81" s="80">
        <v>9</v>
      </c>
      <c r="F81" s="80">
        <v>1</v>
      </c>
      <c r="G81" s="80">
        <v>10</v>
      </c>
      <c r="H81" s="80">
        <v>25</v>
      </c>
      <c r="I81" s="80">
        <v>3</v>
      </c>
      <c r="J81" s="80">
        <v>28</v>
      </c>
      <c r="K81" s="86">
        <v>46</v>
      </c>
    </row>
    <row r="82" spans="1:11">
      <c r="A82" s="5" t="s">
        <v>169</v>
      </c>
      <c r="B82" s="85">
        <v>0</v>
      </c>
      <c r="C82" s="80">
        <v>0</v>
      </c>
      <c r="D82" s="80">
        <v>0</v>
      </c>
      <c r="E82" s="80">
        <v>1</v>
      </c>
      <c r="F82" s="74">
        <v>0</v>
      </c>
      <c r="G82" s="80">
        <v>1</v>
      </c>
      <c r="H82" s="80">
        <v>1</v>
      </c>
      <c r="I82" s="74">
        <v>0</v>
      </c>
      <c r="J82" s="80">
        <v>1</v>
      </c>
      <c r="K82" s="86">
        <v>2</v>
      </c>
    </row>
    <row r="83" spans="1:11">
      <c r="A83" s="5" t="s">
        <v>170</v>
      </c>
      <c r="B83" s="85">
        <v>0</v>
      </c>
      <c r="C83" s="80">
        <v>0</v>
      </c>
      <c r="D83" s="80">
        <v>0</v>
      </c>
      <c r="E83" s="80">
        <v>2</v>
      </c>
      <c r="F83" s="80">
        <v>1</v>
      </c>
      <c r="G83" s="80">
        <v>3</v>
      </c>
      <c r="H83" s="80">
        <v>1</v>
      </c>
      <c r="I83" s="74">
        <v>0</v>
      </c>
      <c r="J83" s="80">
        <v>1</v>
      </c>
      <c r="K83" s="86">
        <v>4</v>
      </c>
    </row>
    <row r="84" spans="1:11">
      <c r="A84" s="5" t="s">
        <v>29</v>
      </c>
      <c r="B84" s="85">
        <v>46</v>
      </c>
      <c r="C84" s="80">
        <v>68</v>
      </c>
      <c r="D84" s="80">
        <v>114</v>
      </c>
      <c r="E84" s="80">
        <v>795</v>
      </c>
      <c r="F84" s="80">
        <v>124</v>
      </c>
      <c r="G84" s="80">
        <v>919</v>
      </c>
      <c r="H84" s="80">
        <v>29</v>
      </c>
      <c r="I84" s="80">
        <v>7</v>
      </c>
      <c r="J84" s="80">
        <v>36</v>
      </c>
      <c r="K84" s="86">
        <v>1069</v>
      </c>
    </row>
    <row r="85" spans="1:11">
      <c r="A85" s="5" t="s">
        <v>128</v>
      </c>
      <c r="B85" s="85">
        <v>9</v>
      </c>
      <c r="C85" s="80">
        <v>0</v>
      </c>
      <c r="D85" s="80">
        <v>9</v>
      </c>
      <c r="E85" s="80">
        <v>1</v>
      </c>
      <c r="F85" s="74">
        <v>0</v>
      </c>
      <c r="G85" s="80">
        <v>1</v>
      </c>
      <c r="H85" s="80">
        <v>6</v>
      </c>
      <c r="I85" s="80">
        <v>1</v>
      </c>
      <c r="J85" s="80">
        <v>7</v>
      </c>
      <c r="K85" s="86">
        <v>17</v>
      </c>
    </row>
    <row r="86" spans="1:11">
      <c r="A86" s="5" t="s">
        <v>129</v>
      </c>
      <c r="B86" s="85">
        <v>50</v>
      </c>
      <c r="C86" s="80">
        <v>9</v>
      </c>
      <c r="D86" s="80">
        <v>59</v>
      </c>
      <c r="E86" s="80">
        <v>33</v>
      </c>
      <c r="F86" s="80">
        <v>2</v>
      </c>
      <c r="G86" s="80">
        <v>35</v>
      </c>
      <c r="H86" s="80">
        <v>119</v>
      </c>
      <c r="I86" s="80">
        <v>24</v>
      </c>
      <c r="J86" s="80">
        <v>143</v>
      </c>
      <c r="K86" s="86">
        <v>237</v>
      </c>
    </row>
    <row r="87" spans="1:11">
      <c r="A87" s="5" t="s">
        <v>220</v>
      </c>
      <c r="B87" s="85">
        <v>1</v>
      </c>
      <c r="C87" s="80">
        <v>3</v>
      </c>
      <c r="D87" s="80">
        <v>4</v>
      </c>
      <c r="E87" s="80">
        <v>1</v>
      </c>
      <c r="F87" s="74">
        <v>0</v>
      </c>
      <c r="G87" s="80">
        <v>1</v>
      </c>
      <c r="H87" s="80">
        <v>7</v>
      </c>
      <c r="I87" s="80">
        <v>1</v>
      </c>
      <c r="J87" s="80">
        <v>8</v>
      </c>
      <c r="K87" s="86">
        <v>13</v>
      </c>
    </row>
    <row r="88" spans="1:11">
      <c r="A88" s="5" t="s">
        <v>221</v>
      </c>
      <c r="B88" s="85">
        <v>1</v>
      </c>
      <c r="C88" s="80">
        <v>2</v>
      </c>
      <c r="D88" s="80">
        <v>3</v>
      </c>
      <c r="E88" s="80">
        <v>2</v>
      </c>
      <c r="F88" s="74">
        <v>0</v>
      </c>
      <c r="G88" s="80">
        <v>2</v>
      </c>
      <c r="H88" s="80">
        <v>7</v>
      </c>
      <c r="I88" s="74">
        <v>0</v>
      </c>
      <c r="J88" s="80">
        <v>7</v>
      </c>
      <c r="K88" s="86">
        <v>12</v>
      </c>
    </row>
    <row r="89" spans="1:11">
      <c r="A89" s="5" t="s">
        <v>223</v>
      </c>
      <c r="B89" s="85">
        <v>6</v>
      </c>
      <c r="C89" s="80">
        <v>2</v>
      </c>
      <c r="D89" s="80">
        <v>8</v>
      </c>
      <c r="E89" s="80">
        <v>18</v>
      </c>
      <c r="F89" s="74">
        <v>0</v>
      </c>
      <c r="G89" s="80">
        <v>18</v>
      </c>
      <c r="H89" s="80">
        <v>45</v>
      </c>
      <c r="I89" s="80">
        <v>8</v>
      </c>
      <c r="J89" s="80">
        <v>53</v>
      </c>
      <c r="K89" s="86">
        <v>79</v>
      </c>
    </row>
    <row r="90" spans="1:11">
      <c r="A90" s="5" t="s">
        <v>324</v>
      </c>
      <c r="B90" s="85">
        <v>1</v>
      </c>
      <c r="C90" s="80">
        <v>0</v>
      </c>
      <c r="D90" s="80">
        <v>1</v>
      </c>
      <c r="E90" s="80">
        <v>3</v>
      </c>
      <c r="F90" s="74">
        <v>0</v>
      </c>
      <c r="G90" s="80">
        <v>3</v>
      </c>
      <c r="H90" s="80">
        <v>5</v>
      </c>
      <c r="I90" s="74">
        <v>0</v>
      </c>
      <c r="J90" s="80">
        <v>5</v>
      </c>
      <c r="K90" s="86">
        <v>9</v>
      </c>
    </row>
    <row r="91" spans="1:11">
      <c r="A91" s="5" t="s">
        <v>325</v>
      </c>
      <c r="B91" s="85">
        <v>0</v>
      </c>
      <c r="C91" s="80">
        <v>0</v>
      </c>
      <c r="D91" s="80">
        <v>0</v>
      </c>
      <c r="E91" s="80">
        <v>1</v>
      </c>
      <c r="F91" s="80">
        <v>1</v>
      </c>
      <c r="G91" s="80">
        <v>2</v>
      </c>
      <c r="H91" s="80">
        <v>8</v>
      </c>
      <c r="I91" s="74">
        <v>0</v>
      </c>
      <c r="J91" s="80">
        <v>8</v>
      </c>
      <c r="K91" s="86">
        <v>10</v>
      </c>
    </row>
    <row r="92" spans="1:11">
      <c r="A92" s="5" t="s">
        <v>326</v>
      </c>
      <c r="B92" s="85">
        <v>0</v>
      </c>
      <c r="C92" s="80">
        <v>0</v>
      </c>
      <c r="D92" s="80">
        <v>0</v>
      </c>
      <c r="E92" s="80">
        <v>0</v>
      </c>
      <c r="F92" s="74">
        <v>0</v>
      </c>
      <c r="G92" s="80">
        <v>0</v>
      </c>
      <c r="H92" s="80">
        <v>1</v>
      </c>
      <c r="I92" s="74">
        <v>0</v>
      </c>
      <c r="J92" s="80">
        <v>1</v>
      </c>
      <c r="K92" s="86">
        <v>1</v>
      </c>
    </row>
    <row r="93" spans="1:11">
      <c r="A93" s="5" t="s">
        <v>327</v>
      </c>
      <c r="B93" s="85">
        <v>1</v>
      </c>
      <c r="C93" s="80">
        <v>0</v>
      </c>
      <c r="D93" s="80">
        <v>1</v>
      </c>
      <c r="E93" s="80">
        <v>0</v>
      </c>
      <c r="F93" s="74">
        <v>0</v>
      </c>
      <c r="G93" s="80">
        <v>0</v>
      </c>
      <c r="H93" s="80">
        <v>0</v>
      </c>
      <c r="I93" s="74">
        <v>0</v>
      </c>
      <c r="J93" s="80">
        <v>0</v>
      </c>
      <c r="K93" s="86">
        <v>1</v>
      </c>
    </row>
    <row r="94" spans="1:11">
      <c r="A94" s="5" t="s">
        <v>35</v>
      </c>
      <c r="B94" s="85">
        <v>16</v>
      </c>
      <c r="C94" s="80">
        <v>9</v>
      </c>
      <c r="D94" s="80">
        <v>25</v>
      </c>
      <c r="E94" s="80">
        <v>21</v>
      </c>
      <c r="F94" s="80">
        <v>13</v>
      </c>
      <c r="G94" s="80">
        <v>34</v>
      </c>
      <c r="H94" s="80">
        <v>21</v>
      </c>
      <c r="I94" s="80">
        <v>3</v>
      </c>
      <c r="J94" s="80">
        <v>24</v>
      </c>
      <c r="K94" s="86">
        <v>83</v>
      </c>
    </row>
    <row r="95" spans="1:11">
      <c r="A95" s="5" t="s">
        <v>328</v>
      </c>
      <c r="B95" s="85">
        <v>0</v>
      </c>
      <c r="C95" s="80">
        <v>0</v>
      </c>
      <c r="D95" s="80">
        <v>0</v>
      </c>
      <c r="E95" s="80">
        <v>2</v>
      </c>
      <c r="F95" s="74">
        <v>0</v>
      </c>
      <c r="G95" s="80">
        <v>2</v>
      </c>
      <c r="H95" s="80">
        <v>4</v>
      </c>
      <c r="I95" s="80">
        <v>2</v>
      </c>
      <c r="J95" s="80">
        <v>6</v>
      </c>
      <c r="K95" s="86">
        <v>8</v>
      </c>
    </row>
    <row r="96" spans="1:11">
      <c r="A96" s="5" t="s">
        <v>34</v>
      </c>
      <c r="B96" s="85">
        <v>46</v>
      </c>
      <c r="C96" s="80">
        <v>6</v>
      </c>
      <c r="D96" s="80">
        <v>52</v>
      </c>
      <c r="E96" s="80">
        <v>113</v>
      </c>
      <c r="F96" s="80">
        <v>5</v>
      </c>
      <c r="G96" s="80">
        <v>118</v>
      </c>
      <c r="H96" s="80">
        <v>116</v>
      </c>
      <c r="I96" s="80">
        <v>6</v>
      </c>
      <c r="J96" s="80">
        <v>122</v>
      </c>
      <c r="K96" s="86">
        <v>292</v>
      </c>
    </row>
    <row r="97" spans="1:11">
      <c r="A97" s="5" t="s">
        <v>329</v>
      </c>
      <c r="B97" s="85">
        <v>1</v>
      </c>
      <c r="C97" s="80">
        <v>0</v>
      </c>
      <c r="D97" s="80">
        <v>1</v>
      </c>
      <c r="E97" s="80">
        <v>0</v>
      </c>
      <c r="F97" s="74">
        <v>0</v>
      </c>
      <c r="G97" s="80">
        <v>0</v>
      </c>
      <c r="H97" s="80">
        <v>0</v>
      </c>
      <c r="I97" s="74">
        <v>0</v>
      </c>
      <c r="J97" s="80">
        <v>0</v>
      </c>
      <c r="K97" s="86">
        <v>1</v>
      </c>
    </row>
    <row r="98" spans="1:11">
      <c r="A98" s="5" t="s">
        <v>226</v>
      </c>
      <c r="B98" s="85">
        <v>0</v>
      </c>
      <c r="C98" s="80">
        <v>0</v>
      </c>
      <c r="D98" s="80">
        <v>0</v>
      </c>
      <c r="E98" s="80">
        <v>1</v>
      </c>
      <c r="F98" s="80">
        <v>2</v>
      </c>
      <c r="G98" s="80">
        <v>3</v>
      </c>
      <c r="H98" s="80">
        <v>5</v>
      </c>
      <c r="I98" s="74">
        <v>0</v>
      </c>
      <c r="J98" s="80">
        <v>5</v>
      </c>
      <c r="K98" s="86">
        <v>8</v>
      </c>
    </row>
    <row r="99" spans="1:11">
      <c r="A99" s="5" t="s">
        <v>132</v>
      </c>
      <c r="B99" s="85">
        <v>0</v>
      </c>
      <c r="C99" s="80">
        <v>0</v>
      </c>
      <c r="D99" s="80">
        <v>0</v>
      </c>
      <c r="E99" s="80">
        <v>0</v>
      </c>
      <c r="F99" s="74">
        <v>0</v>
      </c>
      <c r="G99" s="80">
        <v>0</v>
      </c>
      <c r="H99" s="80">
        <v>1</v>
      </c>
      <c r="I99" s="74">
        <v>0</v>
      </c>
      <c r="J99" s="80">
        <v>1</v>
      </c>
      <c r="K99" s="86">
        <v>1</v>
      </c>
    </row>
    <row r="100" spans="1:11">
      <c r="A100" s="5" t="s">
        <v>135</v>
      </c>
      <c r="B100" s="85">
        <v>0</v>
      </c>
      <c r="C100" s="80">
        <v>0</v>
      </c>
      <c r="D100" s="80">
        <v>0</v>
      </c>
      <c r="E100" s="80">
        <v>0</v>
      </c>
      <c r="F100" s="74">
        <v>0</v>
      </c>
      <c r="G100" s="80">
        <v>0</v>
      </c>
      <c r="H100" s="80">
        <v>2</v>
      </c>
      <c r="I100" s="80">
        <v>2</v>
      </c>
      <c r="J100" s="80">
        <v>4</v>
      </c>
      <c r="K100" s="86">
        <v>4</v>
      </c>
    </row>
    <row r="101" spans="1:11">
      <c r="A101" s="5" t="s">
        <v>177</v>
      </c>
      <c r="B101" s="85">
        <v>5</v>
      </c>
      <c r="C101" s="80">
        <v>0</v>
      </c>
      <c r="D101" s="80">
        <v>5</v>
      </c>
      <c r="E101" s="80">
        <v>0</v>
      </c>
      <c r="F101" s="74">
        <v>0</v>
      </c>
      <c r="G101" s="80">
        <v>0</v>
      </c>
      <c r="H101" s="80">
        <v>2</v>
      </c>
      <c r="I101" s="74">
        <v>0</v>
      </c>
      <c r="J101" s="80">
        <v>2</v>
      </c>
      <c r="K101" s="86">
        <v>7</v>
      </c>
    </row>
    <row r="102" spans="1:11">
      <c r="A102" s="5" t="s">
        <v>178</v>
      </c>
      <c r="B102" s="85">
        <v>0</v>
      </c>
      <c r="C102" s="80">
        <v>0</v>
      </c>
      <c r="D102" s="80">
        <v>0</v>
      </c>
      <c r="E102" s="80">
        <v>0</v>
      </c>
      <c r="F102" s="74">
        <v>0</v>
      </c>
      <c r="G102" s="80">
        <v>0</v>
      </c>
      <c r="H102" s="80">
        <v>1</v>
      </c>
      <c r="I102" s="74">
        <v>0</v>
      </c>
      <c r="J102" s="80">
        <v>1</v>
      </c>
      <c r="K102" s="86">
        <v>1</v>
      </c>
    </row>
    <row r="103" spans="1:11">
      <c r="A103" s="5" t="s">
        <v>330</v>
      </c>
      <c r="B103" s="85">
        <v>1</v>
      </c>
      <c r="C103" s="80">
        <v>0</v>
      </c>
      <c r="D103" s="80">
        <v>1</v>
      </c>
      <c r="E103" s="80">
        <v>0</v>
      </c>
      <c r="F103" s="74">
        <v>0</v>
      </c>
      <c r="G103" s="80">
        <v>0</v>
      </c>
      <c r="H103" s="80">
        <v>0</v>
      </c>
      <c r="I103" s="74">
        <v>0</v>
      </c>
      <c r="J103" s="80">
        <v>0</v>
      </c>
      <c r="K103" s="86">
        <v>1</v>
      </c>
    </row>
    <row r="104" spans="1:11">
      <c r="A104" s="5" t="s">
        <v>94</v>
      </c>
      <c r="B104" s="85">
        <v>2</v>
      </c>
      <c r="C104" s="80">
        <v>1</v>
      </c>
      <c r="D104" s="80">
        <v>3</v>
      </c>
      <c r="E104" s="80">
        <v>2</v>
      </c>
      <c r="F104" s="80">
        <v>1</v>
      </c>
      <c r="G104" s="80">
        <v>3</v>
      </c>
      <c r="H104" s="80">
        <v>11</v>
      </c>
      <c r="I104" s="80">
        <v>1</v>
      </c>
      <c r="J104" s="80">
        <v>12</v>
      </c>
      <c r="K104" s="86">
        <v>18</v>
      </c>
    </row>
    <row r="105" spans="1:11">
      <c r="A105" s="5" t="s">
        <v>230</v>
      </c>
      <c r="B105" s="85">
        <v>1</v>
      </c>
      <c r="C105" s="80">
        <v>3</v>
      </c>
      <c r="D105" s="80">
        <v>4</v>
      </c>
      <c r="E105" s="80">
        <v>1</v>
      </c>
      <c r="F105" s="74">
        <v>0</v>
      </c>
      <c r="G105" s="80">
        <v>1</v>
      </c>
      <c r="H105" s="80">
        <v>6</v>
      </c>
      <c r="I105" s="80">
        <v>1</v>
      </c>
      <c r="J105" s="80">
        <v>7</v>
      </c>
      <c r="K105" s="86">
        <v>12</v>
      </c>
    </row>
    <row r="106" spans="1:11">
      <c r="A106" s="5" t="s">
        <v>231</v>
      </c>
      <c r="B106" s="85">
        <v>9</v>
      </c>
      <c r="C106" s="80">
        <v>16</v>
      </c>
      <c r="D106" s="80">
        <v>25</v>
      </c>
      <c r="E106" s="80">
        <v>20</v>
      </c>
      <c r="F106" s="80">
        <v>2</v>
      </c>
      <c r="G106" s="80">
        <v>22</v>
      </c>
      <c r="H106" s="80">
        <v>39</v>
      </c>
      <c r="I106" s="80">
        <v>1</v>
      </c>
      <c r="J106" s="80">
        <v>40</v>
      </c>
      <c r="K106" s="86">
        <v>87</v>
      </c>
    </row>
    <row r="107" spans="1:11">
      <c r="A107" s="5" t="s">
        <v>179</v>
      </c>
      <c r="B107" s="85">
        <v>1</v>
      </c>
      <c r="C107" s="80">
        <v>0</v>
      </c>
      <c r="D107" s="80">
        <v>1</v>
      </c>
      <c r="E107" s="80">
        <v>0</v>
      </c>
      <c r="F107" s="74">
        <v>0</v>
      </c>
      <c r="G107" s="80">
        <v>0</v>
      </c>
      <c r="H107" s="80">
        <v>1</v>
      </c>
      <c r="I107" s="74">
        <v>0</v>
      </c>
      <c r="J107" s="80">
        <v>1</v>
      </c>
      <c r="K107" s="86">
        <v>2</v>
      </c>
    </row>
    <row r="108" spans="1:11">
      <c r="A108" s="5" t="s">
        <v>137</v>
      </c>
      <c r="B108" s="85">
        <v>1</v>
      </c>
      <c r="C108" s="80">
        <v>0</v>
      </c>
      <c r="D108" s="80">
        <v>1</v>
      </c>
      <c r="E108" s="80">
        <v>0</v>
      </c>
      <c r="F108" s="74">
        <v>0</v>
      </c>
      <c r="G108" s="80">
        <v>0</v>
      </c>
      <c r="H108" s="80">
        <v>3</v>
      </c>
      <c r="I108" s="74">
        <v>0</v>
      </c>
      <c r="J108" s="80">
        <v>3</v>
      </c>
      <c r="K108" s="86">
        <v>4</v>
      </c>
    </row>
    <row r="109" spans="1:11">
      <c r="A109" s="5" t="s">
        <v>100</v>
      </c>
      <c r="B109" s="85">
        <v>0</v>
      </c>
      <c r="C109" s="80">
        <v>0</v>
      </c>
      <c r="D109" s="80">
        <v>0</v>
      </c>
      <c r="E109" s="80">
        <v>0</v>
      </c>
      <c r="F109" s="74">
        <v>0</v>
      </c>
      <c r="G109" s="80">
        <v>0</v>
      </c>
      <c r="H109" s="80">
        <v>1</v>
      </c>
      <c r="I109" s="74">
        <v>0</v>
      </c>
      <c r="J109" s="80">
        <v>1</v>
      </c>
      <c r="K109" s="86">
        <v>1</v>
      </c>
    </row>
    <row r="110" spans="1:11">
      <c r="A110" s="5" t="s">
        <v>183</v>
      </c>
      <c r="B110" s="85">
        <v>0</v>
      </c>
      <c r="C110" s="80">
        <v>0</v>
      </c>
      <c r="D110" s="80">
        <v>0</v>
      </c>
      <c r="E110" s="80">
        <v>2</v>
      </c>
      <c r="F110" s="74">
        <v>0</v>
      </c>
      <c r="G110" s="80">
        <v>2</v>
      </c>
      <c r="H110" s="80">
        <v>6</v>
      </c>
      <c r="I110" s="74">
        <v>0</v>
      </c>
      <c r="J110" s="80">
        <v>6</v>
      </c>
      <c r="K110" s="86">
        <v>8</v>
      </c>
    </row>
    <row r="111" spans="1:11">
      <c r="A111" s="5" t="s">
        <v>232</v>
      </c>
      <c r="B111" s="85">
        <v>0</v>
      </c>
      <c r="C111" s="80">
        <v>2</v>
      </c>
      <c r="D111" s="80">
        <v>2</v>
      </c>
      <c r="E111" s="80">
        <v>2</v>
      </c>
      <c r="F111" s="74">
        <v>0</v>
      </c>
      <c r="G111" s="80">
        <v>2</v>
      </c>
      <c r="H111" s="80">
        <v>5</v>
      </c>
      <c r="I111" s="80">
        <v>1</v>
      </c>
      <c r="J111" s="80">
        <v>6</v>
      </c>
      <c r="K111" s="86">
        <v>10</v>
      </c>
    </row>
    <row r="112" spans="1:11">
      <c r="A112" s="5" t="s">
        <v>101</v>
      </c>
      <c r="B112" s="85">
        <v>0</v>
      </c>
      <c r="C112" s="80">
        <v>0</v>
      </c>
      <c r="D112" s="80">
        <v>0</v>
      </c>
      <c r="E112" s="80">
        <v>1</v>
      </c>
      <c r="F112" s="74">
        <v>0</v>
      </c>
      <c r="G112" s="80">
        <v>1</v>
      </c>
      <c r="H112" s="80">
        <v>0</v>
      </c>
      <c r="I112" s="74">
        <v>0</v>
      </c>
      <c r="J112" s="80">
        <v>0</v>
      </c>
      <c r="K112" s="86">
        <v>1</v>
      </c>
    </row>
    <row r="113" spans="1:11">
      <c r="A113" s="5" t="s">
        <v>138</v>
      </c>
      <c r="B113" s="85">
        <v>0</v>
      </c>
      <c r="C113" s="80">
        <v>3</v>
      </c>
      <c r="D113" s="80">
        <v>3</v>
      </c>
      <c r="E113" s="80">
        <v>6</v>
      </c>
      <c r="F113" s="74">
        <v>0</v>
      </c>
      <c r="G113" s="80">
        <v>6</v>
      </c>
      <c r="H113" s="80">
        <v>15</v>
      </c>
      <c r="I113" s="74">
        <v>0</v>
      </c>
      <c r="J113" s="80">
        <v>15</v>
      </c>
      <c r="K113" s="86">
        <v>24</v>
      </c>
    </row>
    <row r="114" spans="1:11">
      <c r="A114" s="5" t="s">
        <v>27</v>
      </c>
      <c r="B114" s="85">
        <v>801</v>
      </c>
      <c r="C114" s="80">
        <v>240</v>
      </c>
      <c r="D114" s="80">
        <v>1041</v>
      </c>
      <c r="E114" s="80">
        <v>380</v>
      </c>
      <c r="F114" s="80">
        <v>87</v>
      </c>
      <c r="G114" s="80">
        <v>467</v>
      </c>
      <c r="H114" s="80">
        <v>235</v>
      </c>
      <c r="I114" s="80">
        <v>55</v>
      </c>
      <c r="J114" s="80">
        <v>290</v>
      </c>
      <c r="K114" s="86">
        <v>1798</v>
      </c>
    </row>
    <row r="115" spans="1:11">
      <c r="A115" s="5" t="s">
        <v>331</v>
      </c>
      <c r="B115" s="85">
        <v>1</v>
      </c>
      <c r="C115" s="80">
        <v>0</v>
      </c>
      <c r="D115" s="80">
        <v>1</v>
      </c>
      <c r="E115" s="80">
        <v>0</v>
      </c>
      <c r="F115" s="74">
        <v>0</v>
      </c>
      <c r="G115" s="80">
        <v>0</v>
      </c>
      <c r="H115" s="80">
        <v>1</v>
      </c>
      <c r="I115" s="74">
        <v>0</v>
      </c>
      <c r="J115" s="80">
        <v>1</v>
      </c>
      <c r="K115" s="86">
        <v>2</v>
      </c>
    </row>
    <row r="116" spans="1:11">
      <c r="A116" s="5" t="s">
        <v>186</v>
      </c>
      <c r="B116" s="85">
        <v>1</v>
      </c>
      <c r="C116" s="80">
        <v>0</v>
      </c>
      <c r="D116" s="80">
        <v>1</v>
      </c>
      <c r="E116" s="80">
        <v>0</v>
      </c>
      <c r="F116" s="74">
        <v>0</v>
      </c>
      <c r="G116" s="80">
        <v>0</v>
      </c>
      <c r="H116" s="80">
        <v>0</v>
      </c>
      <c r="I116" s="74">
        <v>0</v>
      </c>
      <c r="J116" s="80">
        <v>0</v>
      </c>
      <c r="K116" s="86">
        <v>1</v>
      </c>
    </row>
    <row r="117" spans="1:11">
      <c r="A117" s="5" t="s">
        <v>102</v>
      </c>
      <c r="B117" s="85">
        <v>2</v>
      </c>
      <c r="C117" s="80">
        <v>0</v>
      </c>
      <c r="D117" s="80">
        <v>2</v>
      </c>
      <c r="E117" s="80">
        <v>0</v>
      </c>
      <c r="F117" s="74">
        <v>0</v>
      </c>
      <c r="G117" s="80">
        <v>0</v>
      </c>
      <c r="H117" s="80">
        <v>0</v>
      </c>
      <c r="I117" s="74">
        <v>0</v>
      </c>
      <c r="J117" s="80">
        <v>0</v>
      </c>
      <c r="K117" s="86">
        <v>2</v>
      </c>
    </row>
    <row r="118" spans="1:11">
      <c r="A118" s="5" t="s">
        <v>103</v>
      </c>
      <c r="B118" s="85">
        <v>0</v>
      </c>
      <c r="C118" s="80">
        <v>0</v>
      </c>
      <c r="D118" s="80">
        <v>0</v>
      </c>
      <c r="E118" s="80">
        <v>0</v>
      </c>
      <c r="F118" s="74">
        <v>0</v>
      </c>
      <c r="G118" s="80">
        <v>0</v>
      </c>
      <c r="H118" s="80">
        <v>1</v>
      </c>
      <c r="I118" s="74">
        <v>0</v>
      </c>
      <c r="J118" s="80">
        <v>1</v>
      </c>
      <c r="K118" s="86">
        <v>1</v>
      </c>
    </row>
    <row r="119" spans="1:11">
      <c r="A119" s="6"/>
      <c r="B119" s="6"/>
      <c r="C119" s="61"/>
      <c r="D119" s="61"/>
      <c r="E119" s="61"/>
      <c r="F119" s="61"/>
      <c r="G119" s="61"/>
      <c r="H119" s="61"/>
      <c r="I119" s="61"/>
      <c r="J119" s="61"/>
      <c r="K119" s="10"/>
    </row>
    <row r="120" spans="1:11" ht="39" customHeight="1">
      <c r="A120" s="148" t="s">
        <v>343</v>
      </c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</row>
    <row r="121" spans="1:11" ht="29.25" customHeight="1">
      <c r="A121" s="148" t="s">
        <v>344</v>
      </c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</row>
    <row r="122" spans="1:11">
      <c r="A122" s="148" t="s">
        <v>16</v>
      </c>
      <c r="B122" s="148"/>
      <c r="C122" s="148"/>
      <c r="D122" s="148"/>
      <c r="E122" s="77"/>
      <c r="F122" s="77"/>
      <c r="G122" s="77"/>
      <c r="H122" s="77"/>
      <c r="I122" s="77"/>
      <c r="J122" s="77"/>
      <c r="K122" s="77"/>
    </row>
    <row r="123" spans="1:11">
      <c r="A123" s="148" t="s">
        <v>345</v>
      </c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</row>
  </sheetData>
  <mergeCells count="15">
    <mergeCell ref="A120:K120"/>
    <mergeCell ref="A121:K121"/>
    <mergeCell ref="A122:D122"/>
    <mergeCell ref="A123:K123"/>
    <mergeCell ref="A1:K1"/>
    <mergeCell ref="A2:K2"/>
    <mergeCell ref="A3:K3"/>
    <mergeCell ref="A4:K4"/>
    <mergeCell ref="A6:A9"/>
    <mergeCell ref="B6:J6"/>
    <mergeCell ref="K6:K9"/>
    <mergeCell ref="B7:D8"/>
    <mergeCell ref="E7:J7"/>
    <mergeCell ref="E8:G8"/>
    <mergeCell ref="H8:J8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4"/>
  <sheetViews>
    <sheetView workbookViewId="0">
      <selection sqref="A1:K10"/>
    </sheetView>
  </sheetViews>
  <sheetFormatPr baseColWidth="10" defaultRowHeight="15"/>
  <cols>
    <col min="1" max="1" width="21.42578125" customWidth="1"/>
    <col min="2" max="10" width="8.7109375" customWidth="1"/>
  </cols>
  <sheetData>
    <row r="1" spans="1:11">
      <c r="A1" s="157" t="s">
        <v>18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</row>
    <row r="2" spans="1:11">
      <c r="A2" s="157" t="s">
        <v>334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</row>
    <row r="3" spans="1:11">
      <c r="A3" s="157" t="s">
        <v>346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</row>
    <row r="4" spans="1:11">
      <c r="A4" s="157" t="s">
        <v>20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</row>
    <row r="5" spans="1:11">
      <c r="A5" s="157" t="s">
        <v>342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</row>
    <row r="7" spans="1:11">
      <c r="A7" s="181" t="s">
        <v>37</v>
      </c>
      <c r="B7" s="162" t="s">
        <v>337</v>
      </c>
      <c r="C7" s="162"/>
      <c r="D7" s="162"/>
      <c r="E7" s="162"/>
      <c r="F7" s="162"/>
      <c r="G7" s="162"/>
      <c r="H7" s="162"/>
      <c r="I7" s="162"/>
      <c r="J7" s="162"/>
      <c r="K7" s="163" t="s">
        <v>0</v>
      </c>
    </row>
    <row r="8" spans="1:11">
      <c r="A8" s="182"/>
      <c r="B8" s="163" t="s">
        <v>338</v>
      </c>
      <c r="C8" s="163"/>
      <c r="D8" s="163"/>
      <c r="E8" s="162" t="s">
        <v>339</v>
      </c>
      <c r="F8" s="162"/>
      <c r="G8" s="162"/>
      <c r="H8" s="162"/>
      <c r="I8" s="162"/>
      <c r="J8" s="162"/>
      <c r="K8" s="163"/>
    </row>
    <row r="9" spans="1:11">
      <c r="A9" s="182"/>
      <c r="B9" s="163"/>
      <c r="C9" s="163"/>
      <c r="D9" s="163"/>
      <c r="E9" s="164" t="s">
        <v>340</v>
      </c>
      <c r="F9" s="164"/>
      <c r="G9" s="164"/>
      <c r="H9" s="164" t="s">
        <v>341</v>
      </c>
      <c r="I9" s="164"/>
      <c r="J9" s="164"/>
      <c r="K9" s="163"/>
    </row>
    <row r="10" spans="1:11">
      <c r="A10" s="182"/>
      <c r="B10" s="75" t="s">
        <v>321</v>
      </c>
      <c r="C10" s="75" t="s">
        <v>320</v>
      </c>
      <c r="D10" s="76" t="s">
        <v>0</v>
      </c>
      <c r="E10" s="75" t="s">
        <v>321</v>
      </c>
      <c r="F10" s="75" t="s">
        <v>320</v>
      </c>
      <c r="G10" s="76" t="s">
        <v>0</v>
      </c>
      <c r="H10" s="75" t="s">
        <v>321</v>
      </c>
      <c r="I10" s="75" t="s">
        <v>320</v>
      </c>
      <c r="J10" s="76" t="s">
        <v>0</v>
      </c>
      <c r="K10" s="183"/>
    </row>
    <row r="11" spans="1:11">
      <c r="A11" s="78"/>
      <c r="B11" s="81"/>
      <c r="C11" s="82"/>
      <c r="D11" s="82"/>
      <c r="E11" s="82"/>
      <c r="F11" s="82"/>
      <c r="G11" s="82"/>
      <c r="H11" s="40"/>
      <c r="I11" s="40"/>
      <c r="J11" s="40"/>
      <c r="K11" s="41"/>
    </row>
    <row r="12" spans="1:11">
      <c r="A12" s="4" t="s">
        <v>0</v>
      </c>
      <c r="B12" s="83">
        <f>SUM(B14:B119)</f>
        <v>5838</v>
      </c>
      <c r="C12" s="79">
        <f t="shared" ref="C12:K12" si="0">SUM(C14:C119)</f>
        <v>6409</v>
      </c>
      <c r="D12" s="79">
        <f t="shared" si="0"/>
        <v>12247</v>
      </c>
      <c r="E12" s="79">
        <f t="shared" si="0"/>
        <v>2039</v>
      </c>
      <c r="F12" s="79">
        <f t="shared" si="0"/>
        <v>2672</v>
      </c>
      <c r="G12" s="79">
        <f t="shared" si="0"/>
        <v>4711</v>
      </c>
      <c r="H12" s="79">
        <f t="shared" si="0"/>
        <v>3462</v>
      </c>
      <c r="I12" s="79">
        <f t="shared" si="0"/>
        <v>3067</v>
      </c>
      <c r="J12" s="79">
        <f t="shared" si="0"/>
        <v>6529</v>
      </c>
      <c r="K12" s="84">
        <f t="shared" si="0"/>
        <v>23487</v>
      </c>
    </row>
    <row r="13" spans="1:11">
      <c r="A13" s="5"/>
      <c r="B13" s="5"/>
      <c r="C13" s="77"/>
      <c r="D13" s="77"/>
      <c r="E13" s="77"/>
      <c r="F13" s="77"/>
      <c r="G13" s="77"/>
      <c r="H13" s="77"/>
      <c r="I13" s="77"/>
      <c r="J13" s="77"/>
      <c r="K13" s="9"/>
    </row>
    <row r="14" spans="1:11">
      <c r="A14" s="5" t="s">
        <v>189</v>
      </c>
      <c r="B14" s="85">
        <v>35</v>
      </c>
      <c r="C14" s="80">
        <v>50</v>
      </c>
      <c r="D14" s="80">
        <v>85</v>
      </c>
      <c r="E14" s="80">
        <v>39</v>
      </c>
      <c r="F14" s="80">
        <v>57</v>
      </c>
      <c r="G14" s="80">
        <v>96</v>
      </c>
      <c r="H14" s="80">
        <v>18</v>
      </c>
      <c r="I14" s="80">
        <v>21</v>
      </c>
      <c r="J14" s="80">
        <v>39</v>
      </c>
      <c r="K14" s="86">
        <v>220</v>
      </c>
    </row>
    <row r="15" spans="1:11">
      <c r="A15" s="5" t="s">
        <v>52</v>
      </c>
      <c r="B15" s="85">
        <v>0</v>
      </c>
      <c r="C15" s="80">
        <v>0</v>
      </c>
      <c r="D15" s="80">
        <v>0</v>
      </c>
      <c r="E15" s="74">
        <v>0</v>
      </c>
      <c r="F15" s="80">
        <v>1</v>
      </c>
      <c r="G15" s="80">
        <v>1</v>
      </c>
      <c r="H15" s="74">
        <v>0</v>
      </c>
      <c r="I15" s="80">
        <v>0</v>
      </c>
      <c r="J15" s="80">
        <v>0</v>
      </c>
      <c r="K15" s="86">
        <v>1</v>
      </c>
    </row>
    <row r="16" spans="1:11">
      <c r="A16" s="5" t="s">
        <v>246</v>
      </c>
      <c r="B16" s="85">
        <v>3</v>
      </c>
      <c r="C16" s="80">
        <v>0</v>
      </c>
      <c r="D16" s="80">
        <v>3</v>
      </c>
      <c r="E16" s="74">
        <v>0</v>
      </c>
      <c r="F16" s="80">
        <v>0</v>
      </c>
      <c r="G16" s="80">
        <v>0</v>
      </c>
      <c r="H16" s="74">
        <v>0</v>
      </c>
      <c r="I16" s="80">
        <v>0</v>
      </c>
      <c r="J16" s="80">
        <v>0</v>
      </c>
      <c r="K16" s="86">
        <v>3</v>
      </c>
    </row>
    <row r="17" spans="1:11">
      <c r="A17" s="5" t="s">
        <v>322</v>
      </c>
      <c r="B17" s="85">
        <v>10</v>
      </c>
      <c r="C17" s="80">
        <v>10</v>
      </c>
      <c r="D17" s="80">
        <v>20</v>
      </c>
      <c r="E17" s="74">
        <v>0</v>
      </c>
      <c r="F17" s="80">
        <v>0</v>
      </c>
      <c r="G17" s="80">
        <v>0</v>
      </c>
      <c r="H17" s="74">
        <v>0</v>
      </c>
      <c r="I17" s="80">
        <v>0</v>
      </c>
      <c r="J17" s="80">
        <v>0</v>
      </c>
      <c r="K17" s="86">
        <v>20</v>
      </c>
    </row>
    <row r="18" spans="1:11">
      <c r="A18" s="5" t="s">
        <v>323</v>
      </c>
      <c r="B18" s="85">
        <v>0</v>
      </c>
      <c r="C18" s="80">
        <v>0</v>
      </c>
      <c r="D18" s="80">
        <v>0</v>
      </c>
      <c r="E18" s="74">
        <v>0</v>
      </c>
      <c r="F18" s="80">
        <v>2</v>
      </c>
      <c r="G18" s="80">
        <v>2</v>
      </c>
      <c r="H18" s="74">
        <v>0</v>
      </c>
      <c r="I18" s="80">
        <v>0</v>
      </c>
      <c r="J18" s="80">
        <v>0</v>
      </c>
      <c r="K18" s="86">
        <v>2</v>
      </c>
    </row>
    <row r="19" spans="1:11">
      <c r="A19" s="5" t="s">
        <v>107</v>
      </c>
      <c r="B19" s="85">
        <v>24</v>
      </c>
      <c r="C19" s="80">
        <v>19</v>
      </c>
      <c r="D19" s="80">
        <v>43</v>
      </c>
      <c r="E19" s="80">
        <v>43</v>
      </c>
      <c r="F19" s="80">
        <v>58</v>
      </c>
      <c r="G19" s="80">
        <v>101</v>
      </c>
      <c r="H19" s="80">
        <v>15</v>
      </c>
      <c r="I19" s="80">
        <v>27</v>
      </c>
      <c r="J19" s="80">
        <v>42</v>
      </c>
      <c r="K19" s="86">
        <v>186</v>
      </c>
    </row>
    <row r="20" spans="1:11">
      <c r="A20" s="5" t="s">
        <v>235</v>
      </c>
      <c r="B20" s="85">
        <v>0</v>
      </c>
      <c r="C20" s="80">
        <v>2</v>
      </c>
      <c r="D20" s="80">
        <v>2</v>
      </c>
      <c r="E20" s="80">
        <v>1</v>
      </c>
      <c r="F20" s="80">
        <v>1</v>
      </c>
      <c r="G20" s="80">
        <v>2</v>
      </c>
      <c r="H20" s="80">
        <v>2</v>
      </c>
      <c r="I20" s="80">
        <v>2</v>
      </c>
      <c r="J20" s="80">
        <v>4</v>
      </c>
      <c r="K20" s="86">
        <v>8</v>
      </c>
    </row>
    <row r="21" spans="1:11">
      <c r="A21" s="5" t="s">
        <v>191</v>
      </c>
      <c r="B21" s="85">
        <v>2</v>
      </c>
      <c r="C21" s="80">
        <v>4</v>
      </c>
      <c r="D21" s="80">
        <v>6</v>
      </c>
      <c r="E21" s="80">
        <v>6</v>
      </c>
      <c r="F21" s="80">
        <v>5</v>
      </c>
      <c r="G21" s="80">
        <v>11</v>
      </c>
      <c r="H21" s="80">
        <v>3</v>
      </c>
      <c r="I21" s="80">
        <v>3</v>
      </c>
      <c r="J21" s="80">
        <v>6</v>
      </c>
      <c r="K21" s="86">
        <v>23</v>
      </c>
    </row>
    <row r="22" spans="1:11">
      <c r="A22" s="5" t="s">
        <v>143</v>
      </c>
      <c r="B22" s="85">
        <v>0</v>
      </c>
      <c r="C22" s="80">
        <v>0</v>
      </c>
      <c r="D22" s="80">
        <v>0</v>
      </c>
      <c r="E22" s="80">
        <v>1</v>
      </c>
      <c r="F22" s="80">
        <v>0</v>
      </c>
      <c r="G22" s="80">
        <v>1</v>
      </c>
      <c r="H22" s="74">
        <v>0</v>
      </c>
      <c r="I22" s="80">
        <v>0</v>
      </c>
      <c r="J22" s="80">
        <v>0</v>
      </c>
      <c r="K22" s="86">
        <v>1</v>
      </c>
    </row>
    <row r="23" spans="1:11">
      <c r="A23" s="5" t="s">
        <v>109</v>
      </c>
      <c r="B23" s="85">
        <v>0</v>
      </c>
      <c r="C23" s="80">
        <v>1</v>
      </c>
      <c r="D23" s="80">
        <v>1</v>
      </c>
      <c r="E23" s="74">
        <v>0</v>
      </c>
      <c r="F23" s="80">
        <v>0</v>
      </c>
      <c r="G23" s="80">
        <v>0</v>
      </c>
      <c r="H23" s="74">
        <v>0</v>
      </c>
      <c r="I23" s="80">
        <v>0</v>
      </c>
      <c r="J23" s="80">
        <v>0</v>
      </c>
      <c r="K23" s="86">
        <v>1</v>
      </c>
    </row>
    <row r="24" spans="1:11">
      <c r="A24" s="5" t="s">
        <v>144</v>
      </c>
      <c r="B24" s="85">
        <v>1</v>
      </c>
      <c r="C24" s="80">
        <v>1</v>
      </c>
      <c r="D24" s="80">
        <v>2</v>
      </c>
      <c r="E24" s="74">
        <v>0</v>
      </c>
      <c r="F24" s="80">
        <v>0</v>
      </c>
      <c r="G24" s="80">
        <v>0</v>
      </c>
      <c r="H24" s="74">
        <v>0</v>
      </c>
      <c r="I24" s="80">
        <v>0</v>
      </c>
      <c r="J24" s="80">
        <v>0</v>
      </c>
      <c r="K24" s="86">
        <v>2</v>
      </c>
    </row>
    <row r="25" spans="1:11">
      <c r="A25" s="5" t="s">
        <v>192</v>
      </c>
      <c r="B25" s="85">
        <v>3</v>
      </c>
      <c r="C25" s="80">
        <v>3</v>
      </c>
      <c r="D25" s="80">
        <v>6</v>
      </c>
      <c r="E25" s="80">
        <v>3</v>
      </c>
      <c r="F25" s="80">
        <v>5</v>
      </c>
      <c r="G25" s="80">
        <v>8</v>
      </c>
      <c r="H25" s="80">
        <v>1</v>
      </c>
      <c r="I25" s="80">
        <v>3</v>
      </c>
      <c r="J25" s="80">
        <v>4</v>
      </c>
      <c r="K25" s="86">
        <v>18</v>
      </c>
    </row>
    <row r="26" spans="1:11">
      <c r="A26" s="5" t="s">
        <v>111</v>
      </c>
      <c r="B26" s="85">
        <v>3</v>
      </c>
      <c r="C26" s="80">
        <v>2</v>
      </c>
      <c r="D26" s="80">
        <v>5</v>
      </c>
      <c r="E26" s="74">
        <v>0</v>
      </c>
      <c r="F26" s="80">
        <v>0</v>
      </c>
      <c r="G26" s="80">
        <v>0</v>
      </c>
      <c r="H26" s="74">
        <v>0</v>
      </c>
      <c r="I26" s="80">
        <v>1</v>
      </c>
      <c r="J26" s="80">
        <v>1</v>
      </c>
      <c r="K26" s="86">
        <v>6</v>
      </c>
    </row>
    <row r="27" spans="1:11">
      <c r="A27" s="5" t="s">
        <v>112</v>
      </c>
      <c r="B27" s="85">
        <v>0</v>
      </c>
      <c r="C27" s="80">
        <v>0</v>
      </c>
      <c r="D27" s="80">
        <v>0</v>
      </c>
      <c r="E27" s="80">
        <v>1</v>
      </c>
      <c r="F27" s="80">
        <v>1</v>
      </c>
      <c r="G27" s="80">
        <v>2</v>
      </c>
      <c r="H27" s="74">
        <v>0</v>
      </c>
      <c r="I27" s="80">
        <v>0</v>
      </c>
      <c r="J27" s="80">
        <v>0</v>
      </c>
      <c r="K27" s="86">
        <v>2</v>
      </c>
    </row>
    <row r="28" spans="1:11">
      <c r="A28" s="5" t="s">
        <v>193</v>
      </c>
      <c r="B28" s="85">
        <v>0</v>
      </c>
      <c r="C28" s="80">
        <v>0</v>
      </c>
      <c r="D28" s="80">
        <v>0</v>
      </c>
      <c r="E28" s="80">
        <v>1</v>
      </c>
      <c r="F28" s="80">
        <v>0</v>
      </c>
      <c r="G28" s="80">
        <v>1</v>
      </c>
      <c r="H28" s="74">
        <v>0</v>
      </c>
      <c r="I28" s="80">
        <v>0</v>
      </c>
      <c r="J28" s="80">
        <v>0</v>
      </c>
      <c r="K28" s="86">
        <v>1</v>
      </c>
    </row>
    <row r="29" spans="1:11">
      <c r="A29" s="5" t="s">
        <v>113</v>
      </c>
      <c r="B29" s="85">
        <v>7</v>
      </c>
      <c r="C29" s="80">
        <v>11</v>
      </c>
      <c r="D29" s="80">
        <v>18</v>
      </c>
      <c r="E29" s="80">
        <v>6</v>
      </c>
      <c r="F29" s="80">
        <v>4</v>
      </c>
      <c r="G29" s="80">
        <v>10</v>
      </c>
      <c r="H29" s="80">
        <v>3</v>
      </c>
      <c r="I29" s="80">
        <v>1</v>
      </c>
      <c r="J29" s="80">
        <v>4</v>
      </c>
      <c r="K29" s="86">
        <v>32</v>
      </c>
    </row>
    <row r="30" spans="1:11">
      <c r="A30" s="5" t="s">
        <v>114</v>
      </c>
      <c r="B30" s="85">
        <v>9</v>
      </c>
      <c r="C30" s="80">
        <v>8</v>
      </c>
      <c r="D30" s="80">
        <v>17</v>
      </c>
      <c r="E30" s="80">
        <v>43</v>
      </c>
      <c r="F30" s="80">
        <v>50</v>
      </c>
      <c r="G30" s="80">
        <v>93</v>
      </c>
      <c r="H30" s="80">
        <v>23</v>
      </c>
      <c r="I30" s="80">
        <v>21</v>
      </c>
      <c r="J30" s="80">
        <v>44</v>
      </c>
      <c r="K30" s="86">
        <v>154</v>
      </c>
    </row>
    <row r="31" spans="1:11">
      <c r="A31" s="5" t="s">
        <v>145</v>
      </c>
      <c r="B31" s="85">
        <v>0</v>
      </c>
      <c r="C31" s="80">
        <v>0</v>
      </c>
      <c r="D31" s="80">
        <v>0</v>
      </c>
      <c r="E31" s="74">
        <v>0</v>
      </c>
      <c r="F31" s="80">
        <v>1</v>
      </c>
      <c r="G31" s="80">
        <v>1</v>
      </c>
      <c r="H31" s="74">
        <v>0</v>
      </c>
      <c r="I31" s="80">
        <v>0</v>
      </c>
      <c r="J31" s="80">
        <v>0</v>
      </c>
      <c r="K31" s="86">
        <v>1</v>
      </c>
    </row>
    <row r="32" spans="1:11">
      <c r="A32" s="5" t="s">
        <v>60</v>
      </c>
      <c r="B32" s="85">
        <v>1</v>
      </c>
      <c r="C32" s="80">
        <v>0</v>
      </c>
      <c r="D32" s="80">
        <v>1</v>
      </c>
      <c r="E32" s="74">
        <v>0</v>
      </c>
      <c r="F32" s="80">
        <v>0</v>
      </c>
      <c r="G32" s="80">
        <v>0</v>
      </c>
      <c r="H32" s="74">
        <v>0</v>
      </c>
      <c r="I32" s="80">
        <v>1</v>
      </c>
      <c r="J32" s="80">
        <v>1</v>
      </c>
      <c r="K32" s="86">
        <v>2</v>
      </c>
    </row>
    <row r="33" spans="1:11">
      <c r="A33" s="5" t="s">
        <v>115</v>
      </c>
      <c r="B33" s="85">
        <v>13</v>
      </c>
      <c r="C33" s="80">
        <v>10</v>
      </c>
      <c r="D33" s="80">
        <v>23</v>
      </c>
      <c r="E33" s="80">
        <v>157</v>
      </c>
      <c r="F33" s="80">
        <v>186</v>
      </c>
      <c r="G33" s="80">
        <v>343</v>
      </c>
      <c r="H33" s="80">
        <v>30</v>
      </c>
      <c r="I33" s="80">
        <v>40</v>
      </c>
      <c r="J33" s="80">
        <v>70</v>
      </c>
      <c r="K33" s="86">
        <v>436</v>
      </c>
    </row>
    <row r="34" spans="1:11">
      <c r="A34" s="5" t="s">
        <v>116</v>
      </c>
      <c r="B34" s="85">
        <v>7</v>
      </c>
      <c r="C34" s="80">
        <v>3</v>
      </c>
      <c r="D34" s="80">
        <v>10</v>
      </c>
      <c r="E34" s="80">
        <v>26</v>
      </c>
      <c r="F34" s="80">
        <v>38</v>
      </c>
      <c r="G34" s="80">
        <v>64</v>
      </c>
      <c r="H34" s="80">
        <v>4</v>
      </c>
      <c r="I34" s="80">
        <v>10</v>
      </c>
      <c r="J34" s="80">
        <v>14</v>
      </c>
      <c r="K34" s="86">
        <v>88</v>
      </c>
    </row>
    <row r="35" spans="1:11">
      <c r="A35" s="5" t="s">
        <v>147</v>
      </c>
      <c r="B35" s="85">
        <v>0</v>
      </c>
      <c r="C35" s="80">
        <v>1</v>
      </c>
      <c r="D35" s="80">
        <v>1</v>
      </c>
      <c r="E35" s="74">
        <v>0</v>
      </c>
      <c r="F35" s="80">
        <v>0</v>
      </c>
      <c r="G35" s="80">
        <v>0</v>
      </c>
      <c r="H35" s="74">
        <v>0</v>
      </c>
      <c r="I35" s="80">
        <v>0</v>
      </c>
      <c r="J35" s="80">
        <v>0</v>
      </c>
      <c r="K35" s="86">
        <v>1</v>
      </c>
    </row>
    <row r="36" spans="1:11">
      <c r="A36" s="5" t="s">
        <v>28</v>
      </c>
      <c r="B36" s="85">
        <v>78</v>
      </c>
      <c r="C36" s="80">
        <v>67</v>
      </c>
      <c r="D36" s="80">
        <v>145</v>
      </c>
      <c r="E36" s="80">
        <v>97</v>
      </c>
      <c r="F36" s="80">
        <v>111</v>
      </c>
      <c r="G36" s="80">
        <v>208</v>
      </c>
      <c r="H36" s="80">
        <v>109</v>
      </c>
      <c r="I36" s="80">
        <v>165</v>
      </c>
      <c r="J36" s="80">
        <v>274</v>
      </c>
      <c r="K36" s="86">
        <v>627</v>
      </c>
    </row>
    <row r="37" spans="1:11">
      <c r="A37" s="5" t="s">
        <v>62</v>
      </c>
      <c r="B37" s="85">
        <v>0</v>
      </c>
      <c r="C37" s="80">
        <v>0</v>
      </c>
      <c r="D37" s="80">
        <v>0</v>
      </c>
      <c r="E37" s="80">
        <v>1</v>
      </c>
      <c r="F37" s="80">
        <v>0</v>
      </c>
      <c r="G37" s="80">
        <v>1</v>
      </c>
      <c r="H37" s="74">
        <v>0</v>
      </c>
      <c r="I37" s="80">
        <v>0</v>
      </c>
      <c r="J37" s="80">
        <v>0</v>
      </c>
      <c r="K37" s="86">
        <v>1</v>
      </c>
    </row>
    <row r="38" spans="1:11">
      <c r="A38" s="5" t="s">
        <v>196</v>
      </c>
      <c r="B38" s="85">
        <v>0</v>
      </c>
      <c r="C38" s="80">
        <v>0</v>
      </c>
      <c r="D38" s="80">
        <v>0</v>
      </c>
      <c r="E38" s="74">
        <v>0</v>
      </c>
      <c r="F38" s="80">
        <v>0</v>
      </c>
      <c r="G38" s="80">
        <v>0</v>
      </c>
      <c r="H38" s="80">
        <v>1</v>
      </c>
      <c r="I38" s="80">
        <v>0</v>
      </c>
      <c r="J38" s="80">
        <v>1</v>
      </c>
      <c r="K38" s="86">
        <v>1</v>
      </c>
    </row>
    <row r="39" spans="1:11">
      <c r="A39" s="5" t="s">
        <v>30</v>
      </c>
      <c r="B39" s="85">
        <v>61</v>
      </c>
      <c r="C39" s="80">
        <v>79</v>
      </c>
      <c r="D39" s="80">
        <v>140</v>
      </c>
      <c r="E39" s="80">
        <v>8</v>
      </c>
      <c r="F39" s="80">
        <v>6</v>
      </c>
      <c r="G39" s="80">
        <v>14</v>
      </c>
      <c r="H39" s="80">
        <v>23</v>
      </c>
      <c r="I39" s="80">
        <v>22</v>
      </c>
      <c r="J39" s="80">
        <v>45</v>
      </c>
      <c r="K39" s="86">
        <v>199</v>
      </c>
    </row>
    <row r="40" spans="1:11">
      <c r="A40" s="5" t="s">
        <v>197</v>
      </c>
      <c r="B40" s="85">
        <v>0</v>
      </c>
      <c r="C40" s="80">
        <v>5</v>
      </c>
      <c r="D40" s="80">
        <v>5</v>
      </c>
      <c r="E40" s="74">
        <v>0</v>
      </c>
      <c r="F40" s="80">
        <v>0</v>
      </c>
      <c r="G40" s="80">
        <v>0</v>
      </c>
      <c r="H40" s="80">
        <v>1</v>
      </c>
      <c r="I40" s="80">
        <v>1</v>
      </c>
      <c r="J40" s="80">
        <v>2</v>
      </c>
      <c r="K40" s="86">
        <v>7</v>
      </c>
    </row>
    <row r="41" spans="1:11">
      <c r="A41" s="5" t="s">
        <v>31</v>
      </c>
      <c r="B41" s="85">
        <v>14</v>
      </c>
      <c r="C41" s="80">
        <v>27</v>
      </c>
      <c r="D41" s="80">
        <v>41</v>
      </c>
      <c r="E41" s="80">
        <v>15</v>
      </c>
      <c r="F41" s="80">
        <v>21</v>
      </c>
      <c r="G41" s="80">
        <v>36</v>
      </c>
      <c r="H41" s="80">
        <v>10</v>
      </c>
      <c r="I41" s="80">
        <v>5</v>
      </c>
      <c r="J41" s="80">
        <v>15</v>
      </c>
      <c r="K41" s="86">
        <v>92</v>
      </c>
    </row>
    <row r="42" spans="1:11">
      <c r="A42" s="5" t="s">
        <v>63</v>
      </c>
      <c r="B42" s="85">
        <v>0</v>
      </c>
      <c r="C42" s="80">
        <v>1</v>
      </c>
      <c r="D42" s="80">
        <v>1</v>
      </c>
      <c r="E42" s="80">
        <v>1</v>
      </c>
      <c r="F42" s="80">
        <v>2</v>
      </c>
      <c r="G42" s="80">
        <v>3</v>
      </c>
      <c r="H42" s="74">
        <v>0</v>
      </c>
      <c r="I42" s="80">
        <v>0</v>
      </c>
      <c r="J42" s="80">
        <v>0</v>
      </c>
      <c r="K42" s="86">
        <v>4</v>
      </c>
    </row>
    <row r="43" spans="1:11">
      <c r="A43" s="5" t="s">
        <v>32</v>
      </c>
      <c r="B43" s="85">
        <v>155</v>
      </c>
      <c r="C43" s="80">
        <v>172</v>
      </c>
      <c r="D43" s="80">
        <v>327</v>
      </c>
      <c r="E43" s="80">
        <v>53</v>
      </c>
      <c r="F43" s="80">
        <v>46</v>
      </c>
      <c r="G43" s="80">
        <v>99</v>
      </c>
      <c r="H43" s="80">
        <v>66</v>
      </c>
      <c r="I43" s="80">
        <v>88</v>
      </c>
      <c r="J43" s="80">
        <v>154</v>
      </c>
      <c r="K43" s="86">
        <v>580</v>
      </c>
    </row>
    <row r="44" spans="1:11">
      <c r="A44" s="5" t="s">
        <v>198</v>
      </c>
      <c r="B44" s="85">
        <v>1</v>
      </c>
      <c r="C44" s="80">
        <v>1</v>
      </c>
      <c r="D44" s="80">
        <v>2</v>
      </c>
      <c r="E44" s="80">
        <v>1</v>
      </c>
      <c r="F44" s="80">
        <v>0</v>
      </c>
      <c r="G44" s="80">
        <v>1</v>
      </c>
      <c r="H44" s="80">
        <v>2</v>
      </c>
      <c r="I44" s="80">
        <v>1</v>
      </c>
      <c r="J44" s="80">
        <v>3</v>
      </c>
      <c r="K44" s="86">
        <v>6</v>
      </c>
    </row>
    <row r="45" spans="1:11">
      <c r="A45" s="5" t="s">
        <v>200</v>
      </c>
      <c r="B45" s="85">
        <v>18</v>
      </c>
      <c r="C45" s="80">
        <v>22</v>
      </c>
      <c r="D45" s="80">
        <v>40</v>
      </c>
      <c r="E45" s="80">
        <v>43</v>
      </c>
      <c r="F45" s="80">
        <v>72</v>
      </c>
      <c r="G45" s="80">
        <v>115</v>
      </c>
      <c r="H45" s="80">
        <v>14</v>
      </c>
      <c r="I45" s="80">
        <v>22</v>
      </c>
      <c r="J45" s="80">
        <v>36</v>
      </c>
      <c r="K45" s="86">
        <v>191</v>
      </c>
    </row>
    <row r="46" spans="1:11">
      <c r="A46" s="5" t="s">
        <v>26</v>
      </c>
      <c r="B46" s="85">
        <v>133</v>
      </c>
      <c r="C46" s="80">
        <v>124</v>
      </c>
      <c r="D46" s="80">
        <v>257</v>
      </c>
      <c r="E46" s="80">
        <v>650</v>
      </c>
      <c r="F46" s="80">
        <v>912</v>
      </c>
      <c r="G46" s="80">
        <v>1562</v>
      </c>
      <c r="H46" s="80">
        <v>138</v>
      </c>
      <c r="I46" s="80">
        <v>171</v>
      </c>
      <c r="J46" s="80">
        <v>309</v>
      </c>
      <c r="K46" s="86">
        <v>2128</v>
      </c>
    </row>
    <row r="47" spans="1:11">
      <c r="A47" s="5" t="s">
        <v>201</v>
      </c>
      <c r="B47" s="85">
        <v>0</v>
      </c>
      <c r="C47" s="80">
        <v>0</v>
      </c>
      <c r="D47" s="80">
        <v>0</v>
      </c>
      <c r="E47" s="80">
        <v>1</v>
      </c>
      <c r="F47" s="80">
        <v>4</v>
      </c>
      <c r="G47" s="80">
        <v>5</v>
      </c>
      <c r="H47" s="74">
        <v>0</v>
      </c>
      <c r="I47" s="80">
        <v>0</v>
      </c>
      <c r="J47" s="80">
        <v>0</v>
      </c>
      <c r="K47" s="86">
        <v>5</v>
      </c>
    </row>
    <row r="48" spans="1:11">
      <c r="A48" s="5" t="s">
        <v>65</v>
      </c>
      <c r="B48" s="85">
        <v>1</v>
      </c>
      <c r="C48" s="80">
        <v>0</v>
      </c>
      <c r="D48" s="80">
        <v>1</v>
      </c>
      <c r="E48" s="74">
        <v>0</v>
      </c>
      <c r="F48" s="80">
        <v>0</v>
      </c>
      <c r="G48" s="80">
        <v>0</v>
      </c>
      <c r="H48" s="74">
        <v>0</v>
      </c>
      <c r="I48" s="80">
        <v>0</v>
      </c>
      <c r="J48" s="80">
        <v>0</v>
      </c>
      <c r="K48" s="86">
        <v>1</v>
      </c>
    </row>
    <row r="49" spans="1:11">
      <c r="A49" s="5" t="s">
        <v>202</v>
      </c>
      <c r="B49" s="85">
        <v>2</v>
      </c>
      <c r="C49" s="80">
        <v>3</v>
      </c>
      <c r="D49" s="80">
        <v>5</v>
      </c>
      <c r="E49" s="80">
        <v>12</v>
      </c>
      <c r="F49" s="80">
        <v>13</v>
      </c>
      <c r="G49" s="80">
        <v>25</v>
      </c>
      <c r="H49" s="80">
        <v>11</v>
      </c>
      <c r="I49" s="80">
        <v>11</v>
      </c>
      <c r="J49" s="80">
        <v>22</v>
      </c>
      <c r="K49" s="86">
        <v>52</v>
      </c>
    </row>
    <row r="50" spans="1:11">
      <c r="A50" s="5" t="s">
        <v>149</v>
      </c>
      <c r="B50" s="85">
        <v>4</v>
      </c>
      <c r="C50" s="80">
        <v>3</v>
      </c>
      <c r="D50" s="80">
        <v>7</v>
      </c>
      <c r="E50" s="80">
        <v>9</v>
      </c>
      <c r="F50" s="80">
        <v>9</v>
      </c>
      <c r="G50" s="80">
        <v>18</v>
      </c>
      <c r="H50" s="80">
        <v>6</v>
      </c>
      <c r="I50" s="80">
        <v>1</v>
      </c>
      <c r="J50" s="80">
        <v>7</v>
      </c>
      <c r="K50" s="86">
        <v>32</v>
      </c>
    </row>
    <row r="51" spans="1:11">
      <c r="A51" s="5" t="s">
        <v>203</v>
      </c>
      <c r="B51" s="85">
        <v>3</v>
      </c>
      <c r="C51" s="80">
        <v>4</v>
      </c>
      <c r="D51" s="80">
        <v>7</v>
      </c>
      <c r="E51" s="80">
        <v>1</v>
      </c>
      <c r="F51" s="80">
        <v>4</v>
      </c>
      <c r="G51" s="80">
        <v>5</v>
      </c>
      <c r="H51" s="80">
        <v>1</v>
      </c>
      <c r="I51" s="80">
        <v>1</v>
      </c>
      <c r="J51" s="80">
        <v>2</v>
      </c>
      <c r="K51" s="86">
        <v>14</v>
      </c>
    </row>
    <row r="52" spans="1:11">
      <c r="A52" s="5" t="s">
        <v>204</v>
      </c>
      <c r="B52" s="85">
        <v>13</v>
      </c>
      <c r="C52" s="80">
        <v>15</v>
      </c>
      <c r="D52" s="80">
        <v>28</v>
      </c>
      <c r="E52" s="80">
        <v>35</v>
      </c>
      <c r="F52" s="80">
        <v>65</v>
      </c>
      <c r="G52" s="80">
        <v>100</v>
      </c>
      <c r="H52" s="80">
        <v>17</v>
      </c>
      <c r="I52" s="80">
        <v>19</v>
      </c>
      <c r="J52" s="80">
        <v>36</v>
      </c>
      <c r="K52" s="86">
        <v>164</v>
      </c>
    </row>
    <row r="53" spans="1:11">
      <c r="A53" s="5" t="s">
        <v>66</v>
      </c>
      <c r="B53" s="85">
        <v>0</v>
      </c>
      <c r="C53" s="80">
        <v>0</v>
      </c>
      <c r="D53" s="80">
        <v>0</v>
      </c>
      <c r="E53" s="74">
        <v>0</v>
      </c>
      <c r="F53" s="80">
        <v>1</v>
      </c>
      <c r="G53" s="80">
        <v>1</v>
      </c>
      <c r="H53" s="74">
        <v>0</v>
      </c>
      <c r="I53" s="80">
        <v>0</v>
      </c>
      <c r="J53" s="80">
        <v>0</v>
      </c>
      <c r="K53" s="86">
        <v>1</v>
      </c>
    </row>
    <row r="54" spans="1:11">
      <c r="A54" s="5" t="s">
        <v>121</v>
      </c>
      <c r="B54" s="85">
        <v>57</v>
      </c>
      <c r="C54" s="80">
        <v>72</v>
      </c>
      <c r="D54" s="80">
        <v>129</v>
      </c>
      <c r="E54" s="80">
        <v>45</v>
      </c>
      <c r="F54" s="80">
        <v>32</v>
      </c>
      <c r="G54" s="80">
        <v>77</v>
      </c>
      <c r="H54" s="80">
        <v>13</v>
      </c>
      <c r="I54" s="80">
        <v>11</v>
      </c>
      <c r="J54" s="80">
        <v>24</v>
      </c>
      <c r="K54" s="86">
        <v>230</v>
      </c>
    </row>
    <row r="55" spans="1:11">
      <c r="A55" s="5" t="s">
        <v>123</v>
      </c>
      <c r="B55" s="85">
        <v>1</v>
      </c>
      <c r="C55" s="80">
        <v>3</v>
      </c>
      <c r="D55" s="80">
        <v>4</v>
      </c>
      <c r="E55" s="74">
        <v>0</v>
      </c>
      <c r="F55" s="80">
        <v>2</v>
      </c>
      <c r="G55" s="80">
        <v>2</v>
      </c>
      <c r="H55" s="80">
        <v>2</v>
      </c>
      <c r="I55" s="80">
        <v>1</v>
      </c>
      <c r="J55" s="80">
        <v>3</v>
      </c>
      <c r="K55" s="86">
        <v>9</v>
      </c>
    </row>
    <row r="56" spans="1:11">
      <c r="A56" s="5" t="s">
        <v>124</v>
      </c>
      <c r="B56" s="85">
        <v>90</v>
      </c>
      <c r="C56" s="80">
        <v>95</v>
      </c>
      <c r="D56" s="80">
        <v>185</v>
      </c>
      <c r="E56" s="80">
        <v>34</v>
      </c>
      <c r="F56" s="80">
        <v>44</v>
      </c>
      <c r="G56" s="80">
        <v>78</v>
      </c>
      <c r="H56" s="80">
        <v>51</v>
      </c>
      <c r="I56" s="80">
        <v>35</v>
      </c>
      <c r="J56" s="80">
        <v>86</v>
      </c>
      <c r="K56" s="86">
        <v>349</v>
      </c>
    </row>
    <row r="57" spans="1:11">
      <c r="A57" s="5" t="s">
        <v>206</v>
      </c>
      <c r="B57" s="85">
        <v>1</v>
      </c>
      <c r="C57" s="80">
        <v>1</v>
      </c>
      <c r="D57" s="80">
        <v>2</v>
      </c>
      <c r="E57" s="80">
        <v>2</v>
      </c>
      <c r="F57" s="80">
        <v>7</v>
      </c>
      <c r="G57" s="80">
        <v>9</v>
      </c>
      <c r="H57" s="80">
        <v>3</v>
      </c>
      <c r="I57" s="80">
        <v>5</v>
      </c>
      <c r="J57" s="80">
        <v>8</v>
      </c>
      <c r="K57" s="86">
        <v>19</v>
      </c>
    </row>
    <row r="58" spans="1:11">
      <c r="A58" s="5" t="s">
        <v>33</v>
      </c>
      <c r="B58" s="85">
        <v>3</v>
      </c>
      <c r="C58" s="80">
        <v>5</v>
      </c>
      <c r="D58" s="80">
        <v>8</v>
      </c>
      <c r="E58" s="80">
        <v>35</v>
      </c>
      <c r="F58" s="80">
        <v>79</v>
      </c>
      <c r="G58" s="80">
        <v>114</v>
      </c>
      <c r="H58" s="80">
        <v>4</v>
      </c>
      <c r="I58" s="80">
        <v>16</v>
      </c>
      <c r="J58" s="80">
        <v>20</v>
      </c>
      <c r="K58" s="86">
        <v>142</v>
      </c>
    </row>
    <row r="59" spans="1:11">
      <c r="A59" s="5" t="s">
        <v>152</v>
      </c>
      <c r="B59" s="85">
        <v>0</v>
      </c>
      <c r="C59" s="80">
        <v>2</v>
      </c>
      <c r="D59" s="80">
        <v>2</v>
      </c>
      <c r="E59" s="80">
        <v>1</v>
      </c>
      <c r="F59" s="80">
        <v>1</v>
      </c>
      <c r="G59" s="80">
        <v>2</v>
      </c>
      <c r="H59" s="74">
        <v>0</v>
      </c>
      <c r="I59" s="80">
        <v>0</v>
      </c>
      <c r="J59" s="80">
        <v>0</v>
      </c>
      <c r="K59" s="86">
        <v>4</v>
      </c>
    </row>
    <row r="60" spans="1:11">
      <c r="A60" s="5" t="s">
        <v>153</v>
      </c>
      <c r="B60" s="85">
        <v>0</v>
      </c>
      <c r="C60" s="80">
        <v>0</v>
      </c>
      <c r="D60" s="80">
        <v>0</v>
      </c>
      <c r="E60" s="80">
        <v>2</v>
      </c>
      <c r="F60" s="80">
        <v>1</v>
      </c>
      <c r="G60" s="80">
        <v>3</v>
      </c>
      <c r="H60" s="74">
        <v>0</v>
      </c>
      <c r="I60" s="80">
        <v>1</v>
      </c>
      <c r="J60" s="80">
        <v>1</v>
      </c>
      <c r="K60" s="86">
        <v>4</v>
      </c>
    </row>
    <row r="61" spans="1:11">
      <c r="A61" s="5" t="s">
        <v>207</v>
      </c>
      <c r="B61" s="85">
        <v>0</v>
      </c>
      <c r="C61" s="80">
        <v>2</v>
      </c>
      <c r="D61" s="80">
        <v>2</v>
      </c>
      <c r="E61" s="80">
        <v>1</v>
      </c>
      <c r="F61" s="80">
        <v>0</v>
      </c>
      <c r="G61" s="80">
        <v>1</v>
      </c>
      <c r="H61" s="80">
        <v>2</v>
      </c>
      <c r="I61" s="80">
        <v>3</v>
      </c>
      <c r="J61" s="80">
        <v>5</v>
      </c>
      <c r="K61" s="86">
        <v>8</v>
      </c>
    </row>
    <row r="62" spans="1:11">
      <c r="A62" s="5" t="s">
        <v>208</v>
      </c>
      <c r="B62" s="85">
        <v>2</v>
      </c>
      <c r="C62" s="80">
        <v>0</v>
      </c>
      <c r="D62" s="80">
        <v>2</v>
      </c>
      <c r="E62" s="74">
        <v>0</v>
      </c>
      <c r="F62" s="80">
        <v>0</v>
      </c>
      <c r="G62" s="80">
        <v>0</v>
      </c>
      <c r="H62" s="74">
        <v>0</v>
      </c>
      <c r="I62" s="80">
        <v>0</v>
      </c>
      <c r="J62" s="80">
        <v>0</v>
      </c>
      <c r="K62" s="86">
        <v>2</v>
      </c>
    </row>
    <row r="63" spans="1:11">
      <c r="A63" s="5" t="s">
        <v>155</v>
      </c>
      <c r="B63" s="85">
        <v>1</v>
      </c>
      <c r="C63" s="80">
        <v>2</v>
      </c>
      <c r="D63" s="80">
        <v>3</v>
      </c>
      <c r="E63" s="80">
        <v>9</v>
      </c>
      <c r="F63" s="80">
        <v>33</v>
      </c>
      <c r="G63" s="80">
        <v>42</v>
      </c>
      <c r="H63" s="80">
        <v>4</v>
      </c>
      <c r="I63" s="80">
        <v>8</v>
      </c>
      <c r="J63" s="80">
        <v>12</v>
      </c>
      <c r="K63" s="86">
        <v>57</v>
      </c>
    </row>
    <row r="64" spans="1:11">
      <c r="A64" s="5" t="s">
        <v>209</v>
      </c>
      <c r="B64" s="85">
        <v>26</v>
      </c>
      <c r="C64" s="80">
        <v>28</v>
      </c>
      <c r="D64" s="80">
        <v>54</v>
      </c>
      <c r="E64" s="80">
        <v>25</v>
      </c>
      <c r="F64" s="80">
        <v>38</v>
      </c>
      <c r="G64" s="80">
        <v>63</v>
      </c>
      <c r="H64" s="80">
        <v>13</v>
      </c>
      <c r="I64" s="80">
        <v>18</v>
      </c>
      <c r="J64" s="80">
        <v>31</v>
      </c>
      <c r="K64" s="86">
        <v>148</v>
      </c>
    </row>
    <row r="65" spans="1:11">
      <c r="A65" s="5" t="s">
        <v>126</v>
      </c>
      <c r="B65" s="85">
        <v>2</v>
      </c>
      <c r="C65" s="80">
        <v>3</v>
      </c>
      <c r="D65" s="80">
        <v>5</v>
      </c>
      <c r="E65" s="80">
        <v>1</v>
      </c>
      <c r="F65" s="80">
        <v>1</v>
      </c>
      <c r="G65" s="80">
        <v>2</v>
      </c>
      <c r="H65" s="74">
        <v>0</v>
      </c>
      <c r="I65" s="80">
        <v>4</v>
      </c>
      <c r="J65" s="80">
        <v>4</v>
      </c>
      <c r="K65" s="86">
        <v>11</v>
      </c>
    </row>
    <row r="66" spans="1:11">
      <c r="A66" s="5" t="s">
        <v>156</v>
      </c>
      <c r="B66" s="85">
        <v>0</v>
      </c>
      <c r="C66" s="80">
        <v>0</v>
      </c>
      <c r="D66" s="80">
        <v>0</v>
      </c>
      <c r="E66" s="80">
        <v>4</v>
      </c>
      <c r="F66" s="80">
        <v>9</v>
      </c>
      <c r="G66" s="80">
        <v>13</v>
      </c>
      <c r="H66" s="80">
        <v>2</v>
      </c>
      <c r="I66" s="80">
        <v>1</v>
      </c>
      <c r="J66" s="80">
        <v>3</v>
      </c>
      <c r="K66" s="86">
        <v>16</v>
      </c>
    </row>
    <row r="67" spans="1:11">
      <c r="A67" s="5" t="s">
        <v>158</v>
      </c>
      <c r="B67" s="85">
        <v>0</v>
      </c>
      <c r="C67" s="80">
        <v>0</v>
      </c>
      <c r="D67" s="80">
        <v>0</v>
      </c>
      <c r="E67" s="80">
        <v>1</v>
      </c>
      <c r="F67" s="80">
        <v>0</v>
      </c>
      <c r="G67" s="80">
        <v>1</v>
      </c>
      <c r="H67" s="74">
        <v>0</v>
      </c>
      <c r="I67" s="80">
        <v>0</v>
      </c>
      <c r="J67" s="80">
        <v>0</v>
      </c>
      <c r="K67" s="86">
        <v>1</v>
      </c>
    </row>
    <row r="68" spans="1:11">
      <c r="A68" s="5" t="s">
        <v>70</v>
      </c>
      <c r="B68" s="85">
        <v>4</v>
      </c>
      <c r="C68" s="80">
        <v>0</v>
      </c>
      <c r="D68" s="80">
        <v>4</v>
      </c>
      <c r="E68" s="80">
        <v>1</v>
      </c>
      <c r="F68" s="80">
        <v>0</v>
      </c>
      <c r="G68" s="80">
        <v>1</v>
      </c>
      <c r="H68" s="74">
        <v>0</v>
      </c>
      <c r="I68" s="80">
        <v>0</v>
      </c>
      <c r="J68" s="80">
        <v>0</v>
      </c>
      <c r="K68" s="86">
        <v>5</v>
      </c>
    </row>
    <row r="69" spans="1:11">
      <c r="A69" s="5" t="s">
        <v>161</v>
      </c>
      <c r="B69" s="85">
        <v>0</v>
      </c>
      <c r="C69" s="80">
        <v>1</v>
      </c>
      <c r="D69" s="80">
        <v>1</v>
      </c>
      <c r="E69" s="80">
        <v>1</v>
      </c>
      <c r="F69" s="80">
        <v>1</v>
      </c>
      <c r="G69" s="80">
        <v>2</v>
      </c>
      <c r="H69" s="74">
        <v>0</v>
      </c>
      <c r="I69" s="80">
        <v>1</v>
      </c>
      <c r="J69" s="80">
        <v>1</v>
      </c>
      <c r="K69" s="86">
        <v>4</v>
      </c>
    </row>
    <row r="70" spans="1:11">
      <c r="A70" s="5" t="s">
        <v>213</v>
      </c>
      <c r="B70" s="85">
        <v>1</v>
      </c>
      <c r="C70" s="80">
        <v>0</v>
      </c>
      <c r="D70" s="80">
        <v>1</v>
      </c>
      <c r="E70" s="74">
        <v>0</v>
      </c>
      <c r="F70" s="80">
        <v>0</v>
      </c>
      <c r="G70" s="80">
        <v>0</v>
      </c>
      <c r="H70" s="74">
        <v>0</v>
      </c>
      <c r="I70" s="80">
        <v>0</v>
      </c>
      <c r="J70" s="80">
        <v>0</v>
      </c>
      <c r="K70" s="86">
        <v>1</v>
      </c>
    </row>
    <row r="71" spans="1:11">
      <c r="A71" s="5" t="s">
        <v>214</v>
      </c>
      <c r="B71" s="85">
        <v>0</v>
      </c>
      <c r="C71" s="80">
        <v>0</v>
      </c>
      <c r="D71" s="80">
        <v>0</v>
      </c>
      <c r="E71" s="74">
        <v>0</v>
      </c>
      <c r="F71" s="80">
        <v>0</v>
      </c>
      <c r="G71" s="80">
        <v>0</v>
      </c>
      <c r="H71" s="80">
        <v>1</v>
      </c>
      <c r="I71" s="80">
        <v>0</v>
      </c>
      <c r="J71" s="80">
        <v>1</v>
      </c>
      <c r="K71" s="86">
        <v>1</v>
      </c>
    </row>
    <row r="72" spans="1:11">
      <c r="A72" s="5" t="s">
        <v>162</v>
      </c>
      <c r="B72" s="85">
        <v>0</v>
      </c>
      <c r="C72" s="80">
        <v>0</v>
      </c>
      <c r="D72" s="80">
        <v>0</v>
      </c>
      <c r="E72" s="80">
        <v>1</v>
      </c>
      <c r="F72" s="80">
        <v>0</v>
      </c>
      <c r="G72" s="80">
        <v>1</v>
      </c>
      <c r="H72" s="74">
        <v>0</v>
      </c>
      <c r="I72" s="80">
        <v>0</v>
      </c>
      <c r="J72" s="80">
        <v>0</v>
      </c>
      <c r="K72" s="86">
        <v>1</v>
      </c>
    </row>
    <row r="73" spans="1:11">
      <c r="A73" s="5" t="s">
        <v>76</v>
      </c>
      <c r="B73" s="85">
        <v>0</v>
      </c>
      <c r="C73" s="80">
        <v>1</v>
      </c>
      <c r="D73" s="80">
        <v>1</v>
      </c>
      <c r="E73" s="74">
        <v>0</v>
      </c>
      <c r="F73" s="80">
        <v>0</v>
      </c>
      <c r="G73" s="80">
        <v>0</v>
      </c>
      <c r="H73" s="74">
        <v>0</v>
      </c>
      <c r="I73" s="80">
        <v>0</v>
      </c>
      <c r="J73" s="80">
        <v>0</v>
      </c>
      <c r="K73" s="86">
        <v>1</v>
      </c>
    </row>
    <row r="74" spans="1:11">
      <c r="A74" s="5" t="s">
        <v>78</v>
      </c>
      <c r="B74" s="85">
        <v>1</v>
      </c>
      <c r="C74" s="80">
        <v>0</v>
      </c>
      <c r="D74" s="80">
        <v>1</v>
      </c>
      <c r="E74" s="80">
        <v>3</v>
      </c>
      <c r="F74" s="80">
        <v>4</v>
      </c>
      <c r="G74" s="80">
        <v>7</v>
      </c>
      <c r="H74" s="74">
        <v>0</v>
      </c>
      <c r="I74" s="80">
        <v>0</v>
      </c>
      <c r="J74" s="80">
        <v>0</v>
      </c>
      <c r="K74" s="86">
        <v>8</v>
      </c>
    </row>
    <row r="75" spans="1:11">
      <c r="A75" s="5" t="s">
        <v>127</v>
      </c>
      <c r="B75" s="85">
        <v>15</v>
      </c>
      <c r="C75" s="80">
        <v>47</v>
      </c>
      <c r="D75" s="80">
        <v>62</v>
      </c>
      <c r="E75" s="80">
        <v>92</v>
      </c>
      <c r="F75" s="80">
        <v>127</v>
      </c>
      <c r="G75" s="80">
        <v>219</v>
      </c>
      <c r="H75" s="80">
        <v>30</v>
      </c>
      <c r="I75" s="80">
        <v>51</v>
      </c>
      <c r="J75" s="80">
        <v>81</v>
      </c>
      <c r="K75" s="86">
        <v>362</v>
      </c>
    </row>
    <row r="76" spans="1:11">
      <c r="A76" s="5" t="s">
        <v>166</v>
      </c>
      <c r="B76" s="85">
        <v>2</v>
      </c>
      <c r="C76" s="80">
        <v>0</v>
      </c>
      <c r="D76" s="80">
        <v>2</v>
      </c>
      <c r="E76" s="74">
        <v>0</v>
      </c>
      <c r="F76" s="80">
        <v>0</v>
      </c>
      <c r="G76" s="80">
        <v>0</v>
      </c>
      <c r="H76" s="74">
        <v>0</v>
      </c>
      <c r="I76" s="80">
        <v>0</v>
      </c>
      <c r="J76" s="80">
        <v>0</v>
      </c>
      <c r="K76" s="86">
        <v>2</v>
      </c>
    </row>
    <row r="77" spans="1:11">
      <c r="A77" s="5" t="s">
        <v>167</v>
      </c>
      <c r="B77" s="85">
        <v>1</v>
      </c>
      <c r="C77" s="80">
        <v>1</v>
      </c>
      <c r="D77" s="80">
        <v>2</v>
      </c>
      <c r="E77" s="74">
        <v>0</v>
      </c>
      <c r="F77" s="80">
        <v>0</v>
      </c>
      <c r="G77" s="80">
        <v>0</v>
      </c>
      <c r="H77" s="74">
        <v>0</v>
      </c>
      <c r="I77" s="80">
        <v>0</v>
      </c>
      <c r="J77" s="80">
        <v>0</v>
      </c>
      <c r="K77" s="86">
        <v>2</v>
      </c>
    </row>
    <row r="78" spans="1:11">
      <c r="A78" s="5" t="s">
        <v>25</v>
      </c>
      <c r="B78" s="85">
        <v>4355</v>
      </c>
      <c r="C78" s="80">
        <v>4792</v>
      </c>
      <c r="D78" s="80">
        <v>9147</v>
      </c>
      <c r="E78" s="80">
        <v>141</v>
      </c>
      <c r="F78" s="80">
        <v>154</v>
      </c>
      <c r="G78" s="80">
        <v>295</v>
      </c>
      <c r="H78" s="80">
        <v>1912</v>
      </c>
      <c r="I78" s="80">
        <v>1544</v>
      </c>
      <c r="J78" s="80">
        <v>3456</v>
      </c>
      <c r="K78" s="86">
        <v>12898</v>
      </c>
    </row>
    <row r="79" spans="1:11">
      <c r="A79" s="5" t="s">
        <v>83</v>
      </c>
      <c r="B79" s="85">
        <v>1</v>
      </c>
      <c r="C79" s="80">
        <v>1</v>
      </c>
      <c r="D79" s="80">
        <v>2</v>
      </c>
      <c r="E79" s="74">
        <v>0</v>
      </c>
      <c r="F79" s="80">
        <v>0</v>
      </c>
      <c r="G79" s="80">
        <v>0</v>
      </c>
      <c r="H79" s="74">
        <v>0</v>
      </c>
      <c r="I79" s="80">
        <v>0</v>
      </c>
      <c r="J79" s="80">
        <v>0</v>
      </c>
      <c r="K79" s="86">
        <v>2</v>
      </c>
    </row>
    <row r="80" spans="1:11">
      <c r="A80" s="5" t="s">
        <v>218</v>
      </c>
      <c r="B80" s="85">
        <v>3</v>
      </c>
      <c r="C80" s="80">
        <v>1</v>
      </c>
      <c r="D80" s="80">
        <v>4</v>
      </c>
      <c r="E80" s="80">
        <v>1</v>
      </c>
      <c r="F80" s="80">
        <v>1</v>
      </c>
      <c r="G80" s="80">
        <v>2</v>
      </c>
      <c r="H80" s="74">
        <v>0</v>
      </c>
      <c r="I80" s="80">
        <v>1</v>
      </c>
      <c r="J80" s="80">
        <v>1</v>
      </c>
      <c r="K80" s="86">
        <v>7</v>
      </c>
    </row>
    <row r="81" spans="1:11">
      <c r="A81" s="5" t="s">
        <v>242</v>
      </c>
      <c r="B81" s="85">
        <v>0</v>
      </c>
      <c r="C81" s="80">
        <v>0</v>
      </c>
      <c r="D81" s="80">
        <v>0</v>
      </c>
      <c r="E81" s="80">
        <v>1</v>
      </c>
      <c r="F81" s="80">
        <v>1</v>
      </c>
      <c r="G81" s="80">
        <v>2</v>
      </c>
      <c r="H81" s="80">
        <v>1</v>
      </c>
      <c r="I81" s="80">
        <v>0</v>
      </c>
      <c r="J81" s="80">
        <v>1</v>
      </c>
      <c r="K81" s="86">
        <v>3</v>
      </c>
    </row>
    <row r="82" spans="1:11">
      <c r="A82" s="5" t="s">
        <v>219</v>
      </c>
      <c r="B82" s="85">
        <v>7</v>
      </c>
      <c r="C82" s="80">
        <v>1</v>
      </c>
      <c r="D82" s="80">
        <v>8</v>
      </c>
      <c r="E82" s="80">
        <v>11</v>
      </c>
      <c r="F82" s="80">
        <v>17</v>
      </c>
      <c r="G82" s="80">
        <v>28</v>
      </c>
      <c r="H82" s="80">
        <v>5</v>
      </c>
      <c r="I82" s="80">
        <v>5</v>
      </c>
      <c r="J82" s="80">
        <v>10</v>
      </c>
      <c r="K82" s="86">
        <v>46</v>
      </c>
    </row>
    <row r="83" spans="1:11">
      <c r="A83" s="5" t="s">
        <v>169</v>
      </c>
      <c r="B83" s="85">
        <v>0</v>
      </c>
      <c r="C83" s="80">
        <v>0</v>
      </c>
      <c r="D83" s="80">
        <v>0</v>
      </c>
      <c r="E83" s="74">
        <v>0</v>
      </c>
      <c r="F83" s="80">
        <v>1</v>
      </c>
      <c r="G83" s="80">
        <v>1</v>
      </c>
      <c r="H83" s="74">
        <v>0</v>
      </c>
      <c r="I83" s="80">
        <v>1</v>
      </c>
      <c r="J83" s="80">
        <v>1</v>
      </c>
      <c r="K83" s="86">
        <v>2</v>
      </c>
    </row>
    <row r="84" spans="1:11">
      <c r="A84" s="5" t="s">
        <v>170</v>
      </c>
      <c r="B84" s="85">
        <v>0</v>
      </c>
      <c r="C84" s="80">
        <v>0</v>
      </c>
      <c r="D84" s="80">
        <v>0</v>
      </c>
      <c r="E84" s="74">
        <v>0</v>
      </c>
      <c r="F84" s="80">
        <v>1</v>
      </c>
      <c r="G84" s="80">
        <v>1</v>
      </c>
      <c r="H84" s="80">
        <v>2</v>
      </c>
      <c r="I84" s="80">
        <v>1</v>
      </c>
      <c r="J84" s="80">
        <v>3</v>
      </c>
      <c r="K84" s="86">
        <v>4</v>
      </c>
    </row>
    <row r="85" spans="1:11">
      <c r="A85" s="5" t="s">
        <v>29</v>
      </c>
      <c r="B85" s="85">
        <v>51</v>
      </c>
      <c r="C85" s="80">
        <v>63</v>
      </c>
      <c r="D85" s="80">
        <v>114</v>
      </c>
      <c r="E85" s="80">
        <v>17</v>
      </c>
      <c r="F85" s="80">
        <v>19</v>
      </c>
      <c r="G85" s="80">
        <v>36</v>
      </c>
      <c r="H85" s="80">
        <v>548</v>
      </c>
      <c r="I85" s="80">
        <v>371</v>
      </c>
      <c r="J85" s="80">
        <v>919</v>
      </c>
      <c r="K85" s="86">
        <v>1069</v>
      </c>
    </row>
    <row r="86" spans="1:11">
      <c r="A86" s="5" t="s">
        <v>128</v>
      </c>
      <c r="B86" s="85">
        <v>3</v>
      </c>
      <c r="C86" s="80">
        <v>6</v>
      </c>
      <c r="D86" s="80">
        <v>9</v>
      </c>
      <c r="E86" s="80">
        <v>2</v>
      </c>
      <c r="F86" s="80">
        <v>5</v>
      </c>
      <c r="G86" s="80">
        <v>7</v>
      </c>
      <c r="H86" s="74">
        <v>0</v>
      </c>
      <c r="I86" s="80">
        <v>1</v>
      </c>
      <c r="J86" s="80">
        <v>1</v>
      </c>
      <c r="K86" s="86">
        <v>17</v>
      </c>
    </row>
    <row r="87" spans="1:11">
      <c r="A87" s="5" t="s">
        <v>129</v>
      </c>
      <c r="B87" s="85">
        <v>27</v>
      </c>
      <c r="C87" s="80">
        <v>32</v>
      </c>
      <c r="D87" s="80">
        <v>59</v>
      </c>
      <c r="E87" s="80">
        <v>75</v>
      </c>
      <c r="F87" s="80">
        <v>68</v>
      </c>
      <c r="G87" s="80">
        <v>143</v>
      </c>
      <c r="H87" s="80">
        <v>22</v>
      </c>
      <c r="I87" s="80">
        <v>13</v>
      </c>
      <c r="J87" s="80">
        <v>35</v>
      </c>
      <c r="K87" s="86">
        <v>237</v>
      </c>
    </row>
    <row r="88" spans="1:11">
      <c r="A88" s="5" t="s">
        <v>220</v>
      </c>
      <c r="B88" s="85">
        <v>3</v>
      </c>
      <c r="C88" s="80">
        <v>1</v>
      </c>
      <c r="D88" s="80">
        <v>4</v>
      </c>
      <c r="E88" s="80">
        <v>5</v>
      </c>
      <c r="F88" s="80">
        <v>3</v>
      </c>
      <c r="G88" s="80">
        <v>8</v>
      </c>
      <c r="H88" s="74">
        <v>0</v>
      </c>
      <c r="I88" s="80">
        <v>1</v>
      </c>
      <c r="J88" s="80">
        <v>1</v>
      </c>
      <c r="K88" s="86">
        <v>13</v>
      </c>
    </row>
    <row r="89" spans="1:11">
      <c r="A89" s="5" t="s">
        <v>221</v>
      </c>
      <c r="B89" s="85">
        <v>2</v>
      </c>
      <c r="C89" s="80">
        <v>1</v>
      </c>
      <c r="D89" s="80">
        <v>3</v>
      </c>
      <c r="E89" s="80">
        <v>1</v>
      </c>
      <c r="F89" s="80">
        <v>6</v>
      </c>
      <c r="G89" s="80">
        <v>7</v>
      </c>
      <c r="H89" s="74">
        <v>0</v>
      </c>
      <c r="I89" s="80">
        <v>2</v>
      </c>
      <c r="J89" s="80">
        <v>2</v>
      </c>
      <c r="K89" s="86">
        <v>12</v>
      </c>
    </row>
    <row r="90" spans="1:11">
      <c r="A90" s="5" t="s">
        <v>223</v>
      </c>
      <c r="B90" s="85">
        <v>4</v>
      </c>
      <c r="C90" s="80">
        <v>4</v>
      </c>
      <c r="D90" s="80">
        <v>8</v>
      </c>
      <c r="E90" s="80">
        <v>19</v>
      </c>
      <c r="F90" s="80">
        <v>34</v>
      </c>
      <c r="G90" s="80">
        <v>53</v>
      </c>
      <c r="H90" s="80">
        <v>5</v>
      </c>
      <c r="I90" s="80">
        <v>13</v>
      </c>
      <c r="J90" s="80">
        <v>18</v>
      </c>
      <c r="K90" s="86">
        <v>79</v>
      </c>
    </row>
    <row r="91" spans="1:11">
      <c r="A91" s="5" t="s">
        <v>324</v>
      </c>
      <c r="B91" s="85">
        <v>0</v>
      </c>
      <c r="C91" s="80">
        <v>1</v>
      </c>
      <c r="D91" s="80">
        <v>1</v>
      </c>
      <c r="E91" s="80">
        <v>4</v>
      </c>
      <c r="F91" s="80">
        <v>1</v>
      </c>
      <c r="G91" s="80">
        <v>5</v>
      </c>
      <c r="H91" s="80">
        <v>2</v>
      </c>
      <c r="I91" s="80">
        <v>1</v>
      </c>
      <c r="J91" s="80">
        <v>3</v>
      </c>
      <c r="K91" s="86">
        <v>9</v>
      </c>
    </row>
    <row r="92" spans="1:11">
      <c r="A92" s="5" t="s">
        <v>325</v>
      </c>
      <c r="B92" s="85">
        <v>0</v>
      </c>
      <c r="C92" s="80">
        <v>0</v>
      </c>
      <c r="D92" s="80">
        <v>0</v>
      </c>
      <c r="E92" s="80">
        <v>2</v>
      </c>
      <c r="F92" s="80">
        <v>6</v>
      </c>
      <c r="G92" s="80">
        <v>8</v>
      </c>
      <c r="H92" s="80">
        <v>1</v>
      </c>
      <c r="I92" s="80">
        <v>1</v>
      </c>
      <c r="J92" s="80">
        <v>2</v>
      </c>
      <c r="K92" s="86">
        <v>10</v>
      </c>
    </row>
    <row r="93" spans="1:11">
      <c r="A93" s="5" t="s">
        <v>326</v>
      </c>
      <c r="B93" s="85">
        <v>0</v>
      </c>
      <c r="C93" s="80">
        <v>0</v>
      </c>
      <c r="D93" s="80">
        <v>0</v>
      </c>
      <c r="E93" s="74">
        <v>0</v>
      </c>
      <c r="F93" s="80">
        <v>1</v>
      </c>
      <c r="G93" s="80">
        <v>1</v>
      </c>
      <c r="H93" s="74">
        <v>0</v>
      </c>
      <c r="I93" s="80">
        <v>0</v>
      </c>
      <c r="J93" s="80">
        <v>0</v>
      </c>
      <c r="K93" s="86">
        <v>1</v>
      </c>
    </row>
    <row r="94" spans="1:11">
      <c r="A94" s="5" t="s">
        <v>327</v>
      </c>
      <c r="B94" s="85">
        <v>1</v>
      </c>
      <c r="C94" s="80">
        <v>0</v>
      </c>
      <c r="D94" s="80">
        <v>1</v>
      </c>
      <c r="E94" s="74">
        <v>0</v>
      </c>
      <c r="F94" s="80">
        <v>0</v>
      </c>
      <c r="G94" s="80">
        <v>0</v>
      </c>
      <c r="H94" s="74">
        <v>0</v>
      </c>
      <c r="I94" s="80">
        <v>0</v>
      </c>
      <c r="J94" s="80">
        <v>0</v>
      </c>
      <c r="K94" s="86">
        <v>1</v>
      </c>
    </row>
    <row r="95" spans="1:11">
      <c r="A95" s="5" t="s">
        <v>35</v>
      </c>
      <c r="B95" s="85">
        <v>16</v>
      </c>
      <c r="C95" s="80">
        <v>9</v>
      </c>
      <c r="D95" s="80">
        <v>25</v>
      </c>
      <c r="E95" s="80">
        <v>4</v>
      </c>
      <c r="F95" s="80">
        <v>20</v>
      </c>
      <c r="G95" s="80">
        <v>24</v>
      </c>
      <c r="H95" s="80">
        <v>15</v>
      </c>
      <c r="I95" s="80">
        <v>19</v>
      </c>
      <c r="J95" s="80">
        <v>34</v>
      </c>
      <c r="K95" s="86">
        <v>83</v>
      </c>
    </row>
    <row r="96" spans="1:11">
      <c r="A96" s="5" t="s">
        <v>328</v>
      </c>
      <c r="B96" s="85">
        <v>0</v>
      </c>
      <c r="C96" s="80">
        <v>0</v>
      </c>
      <c r="D96" s="80">
        <v>0</v>
      </c>
      <c r="E96" s="80">
        <v>2</v>
      </c>
      <c r="F96" s="80">
        <v>4</v>
      </c>
      <c r="G96" s="80">
        <v>6</v>
      </c>
      <c r="H96" s="80">
        <v>1</v>
      </c>
      <c r="I96" s="80">
        <v>1</v>
      </c>
      <c r="J96" s="80">
        <v>2</v>
      </c>
      <c r="K96" s="86">
        <v>8</v>
      </c>
    </row>
    <row r="97" spans="1:11">
      <c r="A97" s="5" t="s">
        <v>34</v>
      </c>
      <c r="B97" s="85">
        <v>29</v>
      </c>
      <c r="C97" s="80">
        <v>23</v>
      </c>
      <c r="D97" s="80">
        <v>52</v>
      </c>
      <c r="E97" s="80">
        <v>45</v>
      </c>
      <c r="F97" s="80">
        <v>77</v>
      </c>
      <c r="G97" s="80">
        <v>122</v>
      </c>
      <c r="H97" s="80">
        <v>62</v>
      </c>
      <c r="I97" s="80">
        <v>56</v>
      </c>
      <c r="J97" s="80">
        <v>118</v>
      </c>
      <c r="K97" s="86">
        <v>292</v>
      </c>
    </row>
    <row r="98" spans="1:11">
      <c r="A98" s="5" t="s">
        <v>329</v>
      </c>
      <c r="B98" s="85">
        <v>1</v>
      </c>
      <c r="C98" s="80">
        <v>0</v>
      </c>
      <c r="D98" s="80">
        <v>1</v>
      </c>
      <c r="E98" s="74">
        <v>0</v>
      </c>
      <c r="F98" s="80">
        <v>0</v>
      </c>
      <c r="G98" s="80">
        <v>0</v>
      </c>
      <c r="H98" s="74">
        <v>0</v>
      </c>
      <c r="I98" s="80">
        <v>0</v>
      </c>
      <c r="J98" s="80">
        <v>0</v>
      </c>
      <c r="K98" s="86">
        <v>1</v>
      </c>
    </row>
    <row r="99" spans="1:11">
      <c r="A99" s="5" t="s">
        <v>226</v>
      </c>
      <c r="B99" s="85">
        <v>0</v>
      </c>
      <c r="C99" s="80">
        <v>0</v>
      </c>
      <c r="D99" s="80">
        <v>0</v>
      </c>
      <c r="E99" s="80">
        <v>3</v>
      </c>
      <c r="F99" s="80">
        <v>2</v>
      </c>
      <c r="G99" s="80">
        <v>5</v>
      </c>
      <c r="H99" s="74">
        <v>0</v>
      </c>
      <c r="I99" s="80">
        <v>3</v>
      </c>
      <c r="J99" s="80">
        <v>3</v>
      </c>
      <c r="K99" s="86">
        <v>8</v>
      </c>
    </row>
    <row r="100" spans="1:11">
      <c r="A100" s="5" t="s">
        <v>132</v>
      </c>
      <c r="B100" s="85">
        <v>0</v>
      </c>
      <c r="C100" s="80">
        <v>0</v>
      </c>
      <c r="D100" s="80">
        <v>0</v>
      </c>
      <c r="E100" s="74">
        <v>0</v>
      </c>
      <c r="F100" s="80">
        <v>1</v>
      </c>
      <c r="G100" s="80">
        <v>1</v>
      </c>
      <c r="H100" s="74">
        <v>0</v>
      </c>
      <c r="I100" s="80">
        <v>0</v>
      </c>
      <c r="J100" s="80">
        <v>0</v>
      </c>
      <c r="K100" s="86">
        <v>1</v>
      </c>
    </row>
    <row r="101" spans="1:11">
      <c r="A101" s="5" t="s">
        <v>135</v>
      </c>
      <c r="B101" s="85">
        <v>0</v>
      </c>
      <c r="C101" s="80">
        <v>0</v>
      </c>
      <c r="D101" s="80">
        <v>0</v>
      </c>
      <c r="E101" s="80">
        <v>2</v>
      </c>
      <c r="F101" s="80">
        <v>2</v>
      </c>
      <c r="G101" s="80">
        <v>4</v>
      </c>
      <c r="H101" s="74">
        <v>0</v>
      </c>
      <c r="I101" s="80">
        <v>0</v>
      </c>
      <c r="J101" s="80">
        <v>0</v>
      </c>
      <c r="K101" s="86">
        <v>4</v>
      </c>
    </row>
    <row r="102" spans="1:11">
      <c r="A102" s="5" t="s">
        <v>177</v>
      </c>
      <c r="B102" s="85">
        <v>1</v>
      </c>
      <c r="C102" s="80">
        <v>4</v>
      </c>
      <c r="D102" s="80">
        <v>5</v>
      </c>
      <c r="E102" s="80">
        <v>1</v>
      </c>
      <c r="F102" s="80">
        <v>1</v>
      </c>
      <c r="G102" s="80">
        <v>2</v>
      </c>
      <c r="H102" s="74">
        <v>0</v>
      </c>
      <c r="I102" s="80">
        <v>0</v>
      </c>
      <c r="J102" s="80">
        <v>0</v>
      </c>
      <c r="K102" s="86">
        <v>7</v>
      </c>
    </row>
    <row r="103" spans="1:11">
      <c r="A103" s="5" t="s">
        <v>178</v>
      </c>
      <c r="B103" s="85">
        <v>0</v>
      </c>
      <c r="C103" s="80">
        <v>0</v>
      </c>
      <c r="D103" s="80">
        <v>0</v>
      </c>
      <c r="E103" s="74">
        <v>0</v>
      </c>
      <c r="F103" s="80">
        <v>1</v>
      </c>
      <c r="G103" s="80">
        <v>1</v>
      </c>
      <c r="H103" s="74">
        <v>0</v>
      </c>
      <c r="I103" s="80">
        <v>0</v>
      </c>
      <c r="J103" s="80">
        <v>0</v>
      </c>
      <c r="K103" s="86">
        <v>1</v>
      </c>
    </row>
    <row r="104" spans="1:11">
      <c r="A104" s="5" t="s">
        <v>330</v>
      </c>
      <c r="B104" s="85">
        <v>1</v>
      </c>
      <c r="C104" s="80">
        <v>0</v>
      </c>
      <c r="D104" s="80">
        <v>1</v>
      </c>
      <c r="E104" s="74">
        <v>0</v>
      </c>
      <c r="F104" s="80">
        <v>0</v>
      </c>
      <c r="G104" s="80">
        <v>0</v>
      </c>
      <c r="H104" s="74">
        <v>0</v>
      </c>
      <c r="I104" s="80">
        <v>0</v>
      </c>
      <c r="J104" s="80">
        <v>0</v>
      </c>
      <c r="K104" s="86">
        <v>1</v>
      </c>
    </row>
    <row r="105" spans="1:11">
      <c r="A105" s="5" t="s">
        <v>94</v>
      </c>
      <c r="B105" s="85">
        <v>1</v>
      </c>
      <c r="C105" s="80">
        <v>2</v>
      </c>
      <c r="D105" s="80">
        <v>3</v>
      </c>
      <c r="E105" s="80">
        <v>5</v>
      </c>
      <c r="F105" s="80">
        <v>7</v>
      </c>
      <c r="G105" s="80">
        <v>12</v>
      </c>
      <c r="H105" s="80">
        <v>1</v>
      </c>
      <c r="I105" s="80">
        <v>2</v>
      </c>
      <c r="J105" s="80">
        <v>3</v>
      </c>
      <c r="K105" s="86">
        <v>18</v>
      </c>
    </row>
    <row r="106" spans="1:11">
      <c r="A106" s="5" t="s">
        <v>230</v>
      </c>
      <c r="B106" s="85">
        <v>2</v>
      </c>
      <c r="C106" s="80">
        <v>2</v>
      </c>
      <c r="D106" s="80">
        <v>4</v>
      </c>
      <c r="E106" s="80">
        <v>3</v>
      </c>
      <c r="F106" s="80">
        <v>4</v>
      </c>
      <c r="G106" s="80">
        <v>7</v>
      </c>
      <c r="H106" s="74">
        <v>0</v>
      </c>
      <c r="I106" s="80">
        <v>1</v>
      </c>
      <c r="J106" s="80">
        <v>1</v>
      </c>
      <c r="K106" s="86">
        <v>12</v>
      </c>
    </row>
    <row r="107" spans="1:11">
      <c r="A107" s="5" t="s">
        <v>231</v>
      </c>
      <c r="B107" s="85">
        <v>11</v>
      </c>
      <c r="C107" s="80">
        <v>14</v>
      </c>
      <c r="D107" s="80">
        <v>25</v>
      </c>
      <c r="E107" s="80">
        <v>18</v>
      </c>
      <c r="F107" s="80">
        <v>22</v>
      </c>
      <c r="G107" s="80">
        <v>40</v>
      </c>
      <c r="H107" s="80">
        <v>8</v>
      </c>
      <c r="I107" s="80">
        <v>14</v>
      </c>
      <c r="J107" s="80">
        <v>22</v>
      </c>
      <c r="K107" s="86">
        <v>87</v>
      </c>
    </row>
    <row r="108" spans="1:11">
      <c r="A108" s="5" t="s">
        <v>179</v>
      </c>
      <c r="B108" s="85">
        <v>1</v>
      </c>
      <c r="C108" s="80">
        <v>0</v>
      </c>
      <c r="D108" s="80">
        <v>1</v>
      </c>
      <c r="E108" s="80">
        <v>1</v>
      </c>
      <c r="F108" s="80">
        <v>0</v>
      </c>
      <c r="G108" s="80">
        <v>1</v>
      </c>
      <c r="H108" s="74">
        <v>0</v>
      </c>
      <c r="I108" s="80">
        <v>0</v>
      </c>
      <c r="J108" s="80">
        <v>0</v>
      </c>
      <c r="K108" s="86">
        <v>2</v>
      </c>
    </row>
    <row r="109" spans="1:11">
      <c r="A109" s="5" t="s">
        <v>137</v>
      </c>
      <c r="B109" s="85">
        <v>1</v>
      </c>
      <c r="C109" s="80">
        <v>0</v>
      </c>
      <c r="D109" s="80">
        <v>1</v>
      </c>
      <c r="E109" s="80">
        <v>1</v>
      </c>
      <c r="F109" s="80">
        <v>2</v>
      </c>
      <c r="G109" s="80">
        <v>3</v>
      </c>
      <c r="H109" s="74">
        <v>0</v>
      </c>
      <c r="I109" s="80">
        <v>0</v>
      </c>
      <c r="J109" s="80">
        <v>0</v>
      </c>
      <c r="K109" s="86">
        <v>4</v>
      </c>
    </row>
    <row r="110" spans="1:11">
      <c r="A110" s="5" t="s">
        <v>100</v>
      </c>
      <c r="B110" s="85">
        <v>0</v>
      </c>
      <c r="C110" s="80">
        <v>0</v>
      </c>
      <c r="D110" s="80">
        <v>0</v>
      </c>
      <c r="E110" s="74">
        <v>0</v>
      </c>
      <c r="F110" s="80">
        <v>1</v>
      </c>
      <c r="G110" s="80">
        <v>1</v>
      </c>
      <c r="H110" s="74">
        <v>0</v>
      </c>
      <c r="I110" s="80">
        <v>0</v>
      </c>
      <c r="J110" s="80">
        <v>0</v>
      </c>
      <c r="K110" s="86">
        <v>1</v>
      </c>
    </row>
    <row r="111" spans="1:11">
      <c r="A111" s="5" t="s">
        <v>183</v>
      </c>
      <c r="B111" s="85">
        <v>0</v>
      </c>
      <c r="C111" s="80">
        <v>0</v>
      </c>
      <c r="D111" s="80">
        <v>0</v>
      </c>
      <c r="E111" s="74">
        <v>0</v>
      </c>
      <c r="F111" s="80">
        <v>6</v>
      </c>
      <c r="G111" s="80">
        <v>6</v>
      </c>
      <c r="H111" s="80">
        <v>1</v>
      </c>
      <c r="I111" s="80">
        <v>1</v>
      </c>
      <c r="J111" s="80">
        <v>2</v>
      </c>
      <c r="K111" s="86">
        <v>8</v>
      </c>
    </row>
    <row r="112" spans="1:11">
      <c r="A112" s="5" t="s">
        <v>232</v>
      </c>
      <c r="B112" s="85">
        <v>1</v>
      </c>
      <c r="C112" s="80">
        <v>1</v>
      </c>
      <c r="D112" s="80">
        <v>2</v>
      </c>
      <c r="E112" s="80">
        <v>4</v>
      </c>
      <c r="F112" s="80">
        <v>2</v>
      </c>
      <c r="G112" s="80">
        <v>6</v>
      </c>
      <c r="H112" s="80">
        <v>2</v>
      </c>
      <c r="I112" s="80">
        <v>0</v>
      </c>
      <c r="J112" s="80">
        <v>2</v>
      </c>
      <c r="K112" s="86">
        <v>10</v>
      </c>
    </row>
    <row r="113" spans="1:11">
      <c r="A113" s="5" t="s">
        <v>101</v>
      </c>
      <c r="B113" s="85">
        <v>0</v>
      </c>
      <c r="C113" s="80">
        <v>0</v>
      </c>
      <c r="D113" s="80">
        <v>0</v>
      </c>
      <c r="E113" s="74">
        <v>0</v>
      </c>
      <c r="F113" s="80">
        <v>0</v>
      </c>
      <c r="G113" s="80">
        <v>0</v>
      </c>
      <c r="H113" s="80">
        <v>1</v>
      </c>
      <c r="I113" s="80">
        <v>0</v>
      </c>
      <c r="J113" s="80">
        <v>1</v>
      </c>
      <c r="K113" s="86">
        <v>1</v>
      </c>
    </row>
    <row r="114" spans="1:11">
      <c r="A114" s="5" t="s">
        <v>138</v>
      </c>
      <c r="B114" s="85">
        <v>2</v>
      </c>
      <c r="C114" s="80">
        <v>1</v>
      </c>
      <c r="D114" s="80">
        <v>3</v>
      </c>
      <c r="E114" s="80">
        <v>3</v>
      </c>
      <c r="F114" s="80">
        <v>12</v>
      </c>
      <c r="G114" s="80">
        <v>15</v>
      </c>
      <c r="H114" s="80">
        <v>1</v>
      </c>
      <c r="I114" s="80">
        <v>5</v>
      </c>
      <c r="J114" s="80">
        <v>6</v>
      </c>
      <c r="K114" s="86">
        <v>24</v>
      </c>
    </row>
    <row r="115" spans="1:11">
      <c r="A115" s="5" t="s">
        <v>27</v>
      </c>
      <c r="B115" s="85">
        <v>504</v>
      </c>
      <c r="C115" s="80">
        <v>537</v>
      </c>
      <c r="D115" s="80">
        <v>1041</v>
      </c>
      <c r="E115" s="80">
        <v>155</v>
      </c>
      <c r="F115" s="80">
        <v>135</v>
      </c>
      <c r="G115" s="80">
        <v>290</v>
      </c>
      <c r="H115" s="80">
        <v>249</v>
      </c>
      <c r="I115" s="80">
        <v>218</v>
      </c>
      <c r="J115" s="80">
        <v>467</v>
      </c>
      <c r="K115" s="86">
        <v>1798</v>
      </c>
    </row>
    <row r="116" spans="1:11">
      <c r="A116" s="5" t="s">
        <v>331</v>
      </c>
      <c r="B116" s="85">
        <v>1</v>
      </c>
      <c r="C116" s="80">
        <v>0</v>
      </c>
      <c r="D116" s="80">
        <v>1</v>
      </c>
      <c r="E116" s="74">
        <v>0</v>
      </c>
      <c r="F116" s="80">
        <v>1</v>
      </c>
      <c r="G116" s="80">
        <v>1</v>
      </c>
      <c r="H116" s="74">
        <v>0</v>
      </c>
      <c r="I116" s="80">
        <v>0</v>
      </c>
      <c r="J116" s="80">
        <v>0</v>
      </c>
      <c r="K116" s="86">
        <v>2</v>
      </c>
    </row>
    <row r="117" spans="1:11">
      <c r="A117" s="5" t="s">
        <v>186</v>
      </c>
      <c r="B117" s="85">
        <v>0</v>
      </c>
      <c r="C117" s="80">
        <v>1</v>
      </c>
      <c r="D117" s="80">
        <v>1</v>
      </c>
      <c r="E117" s="74">
        <v>0</v>
      </c>
      <c r="F117" s="80">
        <v>0</v>
      </c>
      <c r="G117" s="80">
        <v>0</v>
      </c>
      <c r="H117" s="74">
        <v>0</v>
      </c>
      <c r="I117" s="80">
        <v>0</v>
      </c>
      <c r="J117" s="80">
        <v>0</v>
      </c>
      <c r="K117" s="86">
        <v>1</v>
      </c>
    </row>
    <row r="118" spans="1:11">
      <c r="A118" s="5" t="s">
        <v>102</v>
      </c>
      <c r="B118" s="85">
        <v>1</v>
      </c>
      <c r="C118" s="80">
        <v>1</v>
      </c>
      <c r="D118" s="80">
        <v>2</v>
      </c>
      <c r="E118" s="74">
        <v>0</v>
      </c>
      <c r="F118" s="80">
        <v>0</v>
      </c>
      <c r="G118" s="80">
        <v>0</v>
      </c>
      <c r="H118" s="74">
        <v>0</v>
      </c>
      <c r="I118" s="80">
        <v>0</v>
      </c>
      <c r="J118" s="80">
        <v>0</v>
      </c>
      <c r="K118" s="86">
        <v>2</v>
      </c>
    </row>
    <row r="119" spans="1:11">
      <c r="A119" s="5" t="s">
        <v>103</v>
      </c>
      <c r="B119" s="85">
        <v>0</v>
      </c>
      <c r="C119" s="80">
        <v>0</v>
      </c>
      <c r="D119" s="80">
        <v>0</v>
      </c>
      <c r="E119" s="80">
        <v>1</v>
      </c>
      <c r="F119" s="80">
        <v>0</v>
      </c>
      <c r="G119" s="80">
        <v>1</v>
      </c>
      <c r="H119" s="74">
        <v>0</v>
      </c>
      <c r="I119" s="80">
        <v>0</v>
      </c>
      <c r="J119" s="80">
        <v>0</v>
      </c>
      <c r="K119" s="86">
        <v>1</v>
      </c>
    </row>
    <row r="120" spans="1:11">
      <c r="A120" s="6"/>
      <c r="B120" s="6"/>
      <c r="C120" s="61"/>
      <c r="D120" s="61"/>
      <c r="E120" s="61"/>
      <c r="F120" s="61"/>
      <c r="G120" s="61"/>
      <c r="H120" s="61"/>
      <c r="I120" s="61"/>
      <c r="J120" s="61"/>
      <c r="K120" s="10"/>
    </row>
    <row r="121" spans="1:11" ht="38.25" customHeight="1">
      <c r="A121" s="148" t="s">
        <v>343</v>
      </c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</row>
    <row r="122" spans="1:11" ht="28.5" customHeight="1">
      <c r="A122" s="148" t="s">
        <v>344</v>
      </c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</row>
    <row r="123" spans="1:11">
      <c r="A123" s="148" t="s">
        <v>16</v>
      </c>
      <c r="B123" s="148"/>
      <c r="C123" s="148"/>
      <c r="D123" s="148"/>
      <c r="E123" s="77"/>
      <c r="F123" s="77"/>
      <c r="G123" s="77"/>
      <c r="H123" s="77"/>
      <c r="I123" s="77"/>
      <c r="J123" s="77"/>
      <c r="K123" s="77"/>
    </row>
    <row r="124" spans="1:11">
      <c r="A124" s="148" t="s">
        <v>345</v>
      </c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</row>
  </sheetData>
  <mergeCells count="16">
    <mergeCell ref="A121:K121"/>
    <mergeCell ref="A122:K122"/>
    <mergeCell ref="A123:D123"/>
    <mergeCell ref="A124:K124"/>
    <mergeCell ref="A1:K1"/>
    <mergeCell ref="A2:K2"/>
    <mergeCell ref="A3:K3"/>
    <mergeCell ref="A4:K4"/>
    <mergeCell ref="A5:K5"/>
    <mergeCell ref="A7:A10"/>
    <mergeCell ref="B7:J7"/>
    <mergeCell ref="K7:K10"/>
    <mergeCell ref="B8:D9"/>
    <mergeCell ref="E8:J8"/>
    <mergeCell ref="E9:G9"/>
    <mergeCell ref="H9:J9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0"/>
  <sheetViews>
    <sheetView workbookViewId="0">
      <selection activeCell="K23" sqref="K23"/>
    </sheetView>
  </sheetViews>
  <sheetFormatPr baseColWidth="10" defaultRowHeight="15"/>
  <cols>
    <col min="1" max="1" width="16.7109375" customWidth="1"/>
    <col min="2" max="7" width="8.7109375" customWidth="1"/>
  </cols>
  <sheetData>
    <row r="1" spans="1:8">
      <c r="A1" s="157" t="s">
        <v>348</v>
      </c>
      <c r="B1" s="157"/>
      <c r="C1" s="157"/>
      <c r="D1" s="157"/>
      <c r="E1" s="157"/>
      <c r="F1" s="157"/>
      <c r="G1" s="157"/>
      <c r="H1" s="157"/>
    </row>
    <row r="2" spans="1:8">
      <c r="A2" s="157" t="s">
        <v>349</v>
      </c>
      <c r="B2" s="157"/>
      <c r="C2" s="157"/>
      <c r="D2" s="157"/>
      <c r="E2" s="157"/>
      <c r="F2" s="157"/>
      <c r="G2" s="157"/>
      <c r="H2" s="157"/>
    </row>
    <row r="3" spans="1:8">
      <c r="A3" s="157" t="s">
        <v>350</v>
      </c>
      <c r="B3" s="157"/>
      <c r="C3" s="157"/>
      <c r="D3" s="157"/>
      <c r="E3" s="157"/>
      <c r="F3" s="157"/>
      <c r="G3" s="157"/>
      <c r="H3" s="157"/>
    </row>
    <row r="4" spans="1:8">
      <c r="A4" s="157" t="s">
        <v>335</v>
      </c>
      <c r="B4" s="157"/>
      <c r="C4" s="157"/>
      <c r="D4" s="157"/>
      <c r="E4" s="157"/>
      <c r="F4" s="157"/>
      <c r="G4" s="157"/>
      <c r="H4" s="157"/>
    </row>
    <row r="5" spans="1:8">
      <c r="A5" s="157" t="s">
        <v>336</v>
      </c>
      <c r="B5" s="157"/>
      <c r="C5" s="157"/>
      <c r="D5" s="157"/>
      <c r="E5" s="157"/>
      <c r="F5" s="157"/>
      <c r="G5" s="157"/>
      <c r="H5" s="157"/>
    </row>
    <row r="7" spans="1:8">
      <c r="A7" s="154" t="s">
        <v>351</v>
      </c>
      <c r="B7" s="184" t="s">
        <v>352</v>
      </c>
      <c r="C7" s="184"/>
      <c r="D7" s="184"/>
      <c r="E7" s="184"/>
      <c r="F7" s="184"/>
      <c r="G7" s="184"/>
      <c r="H7" s="154" t="s">
        <v>0</v>
      </c>
    </row>
    <row r="8" spans="1:8">
      <c r="A8" s="154" t="s">
        <v>351</v>
      </c>
      <c r="B8" s="156" t="s">
        <v>321</v>
      </c>
      <c r="C8" s="156"/>
      <c r="D8" s="156"/>
      <c r="E8" s="156" t="s">
        <v>320</v>
      </c>
      <c r="F8" s="156"/>
      <c r="G8" s="156"/>
      <c r="H8" s="154"/>
    </row>
    <row r="9" spans="1:8">
      <c r="A9" s="155"/>
      <c r="B9" s="87" t="s">
        <v>332</v>
      </c>
      <c r="C9" s="87" t="s">
        <v>333</v>
      </c>
      <c r="D9" s="87" t="s">
        <v>0</v>
      </c>
      <c r="E9" s="87" t="s">
        <v>332</v>
      </c>
      <c r="F9" s="87" t="s">
        <v>333</v>
      </c>
      <c r="G9" s="87" t="s">
        <v>0</v>
      </c>
      <c r="H9" s="155"/>
    </row>
    <row r="10" spans="1:8">
      <c r="A10" s="78"/>
      <c r="B10" s="78"/>
      <c r="C10" s="40"/>
      <c r="D10" s="40"/>
      <c r="E10" s="40"/>
      <c r="F10" s="40"/>
      <c r="G10" s="40"/>
      <c r="H10" s="41"/>
    </row>
    <row r="11" spans="1:8">
      <c r="A11" s="4" t="s">
        <v>0</v>
      </c>
      <c r="B11" s="7">
        <v>1081</v>
      </c>
      <c r="C11" s="89">
        <v>253</v>
      </c>
      <c r="D11" s="89">
        <v>1334</v>
      </c>
      <c r="E11" s="89">
        <v>1449</v>
      </c>
      <c r="F11" s="89">
        <v>291</v>
      </c>
      <c r="G11" s="89">
        <v>1740</v>
      </c>
      <c r="H11" s="8">
        <v>3074</v>
      </c>
    </row>
    <row r="12" spans="1:8">
      <c r="A12" s="5"/>
      <c r="B12" s="5"/>
      <c r="C12" s="77"/>
      <c r="D12" s="77"/>
      <c r="E12" s="77"/>
      <c r="F12" s="77"/>
      <c r="G12" s="77"/>
      <c r="H12" s="9"/>
    </row>
    <row r="13" spans="1:8">
      <c r="A13" s="5" t="s">
        <v>246</v>
      </c>
      <c r="B13" s="85">
        <v>1</v>
      </c>
      <c r="C13" s="80">
        <v>2</v>
      </c>
      <c r="D13" s="80">
        <v>3</v>
      </c>
      <c r="E13" s="74">
        <v>0</v>
      </c>
      <c r="F13" s="74">
        <v>0</v>
      </c>
      <c r="G13" s="74">
        <v>0</v>
      </c>
      <c r="H13" s="86">
        <v>3</v>
      </c>
    </row>
    <row r="14" spans="1:8">
      <c r="A14" s="5" t="s">
        <v>28</v>
      </c>
      <c r="B14" s="85">
        <v>6</v>
      </c>
      <c r="C14" s="80">
        <v>1</v>
      </c>
      <c r="D14" s="80">
        <v>7</v>
      </c>
      <c r="E14" s="80">
        <v>3</v>
      </c>
      <c r="F14" s="80">
        <v>1</v>
      </c>
      <c r="G14" s="80">
        <v>4</v>
      </c>
      <c r="H14" s="86">
        <v>11</v>
      </c>
    </row>
    <row r="15" spans="1:8">
      <c r="A15" s="5" t="s">
        <v>30</v>
      </c>
      <c r="B15" s="85">
        <v>49</v>
      </c>
      <c r="C15" s="80">
        <v>5</v>
      </c>
      <c r="D15" s="80">
        <v>54</v>
      </c>
      <c r="E15" s="80">
        <v>51</v>
      </c>
      <c r="F15" s="80">
        <v>6</v>
      </c>
      <c r="G15" s="80">
        <v>57</v>
      </c>
      <c r="H15" s="86">
        <v>111</v>
      </c>
    </row>
    <row r="16" spans="1:8">
      <c r="A16" s="5" t="s">
        <v>31</v>
      </c>
      <c r="B16" s="85">
        <v>0</v>
      </c>
      <c r="C16" s="80">
        <v>1</v>
      </c>
      <c r="D16" s="80">
        <v>1</v>
      </c>
      <c r="E16" s="74">
        <v>0</v>
      </c>
      <c r="F16" s="74">
        <v>0</v>
      </c>
      <c r="G16" s="74">
        <v>0</v>
      </c>
      <c r="H16" s="86">
        <v>1</v>
      </c>
    </row>
    <row r="17" spans="1:10">
      <c r="A17" s="5" t="s">
        <v>63</v>
      </c>
      <c r="B17" s="85">
        <v>0</v>
      </c>
      <c r="C17" s="74">
        <v>0</v>
      </c>
      <c r="D17" s="74">
        <v>0</v>
      </c>
      <c r="E17" s="80">
        <v>1</v>
      </c>
      <c r="F17" s="74">
        <v>0</v>
      </c>
      <c r="G17" s="80">
        <v>1</v>
      </c>
      <c r="H17" s="86">
        <v>1</v>
      </c>
    </row>
    <row r="18" spans="1:10">
      <c r="A18" s="5" t="s">
        <v>32</v>
      </c>
      <c r="B18" s="85">
        <v>39</v>
      </c>
      <c r="C18" s="80">
        <v>11</v>
      </c>
      <c r="D18" s="80">
        <v>50</v>
      </c>
      <c r="E18" s="80">
        <v>33</v>
      </c>
      <c r="F18" s="80">
        <v>15</v>
      </c>
      <c r="G18" s="80">
        <v>48</v>
      </c>
      <c r="H18" s="86">
        <v>98</v>
      </c>
    </row>
    <row r="19" spans="1:10">
      <c r="A19" s="5" t="s">
        <v>26</v>
      </c>
      <c r="B19" s="85">
        <v>2</v>
      </c>
      <c r="C19" s="80">
        <v>1</v>
      </c>
      <c r="D19" s="80">
        <v>3</v>
      </c>
      <c r="E19" s="74">
        <v>0</v>
      </c>
      <c r="F19" s="80">
        <v>2</v>
      </c>
      <c r="G19" s="80">
        <v>2</v>
      </c>
      <c r="H19" s="86">
        <v>5</v>
      </c>
    </row>
    <row r="20" spans="1:10">
      <c r="A20" s="5" t="s">
        <v>121</v>
      </c>
      <c r="B20" s="85">
        <v>0</v>
      </c>
      <c r="C20" s="74">
        <v>0</v>
      </c>
      <c r="D20" s="74">
        <v>0</v>
      </c>
      <c r="E20" s="80">
        <v>1</v>
      </c>
      <c r="F20" s="74">
        <v>0</v>
      </c>
      <c r="G20" s="80">
        <v>1</v>
      </c>
      <c r="H20" s="86">
        <v>1</v>
      </c>
    </row>
    <row r="21" spans="1:10">
      <c r="A21" s="5" t="s">
        <v>123</v>
      </c>
      <c r="B21" s="85">
        <v>0</v>
      </c>
      <c r="C21" s="74">
        <v>0</v>
      </c>
      <c r="D21" s="74">
        <v>0</v>
      </c>
      <c r="E21" s="80">
        <v>1</v>
      </c>
      <c r="F21" s="74">
        <v>0</v>
      </c>
      <c r="G21" s="80">
        <v>1</v>
      </c>
      <c r="H21" s="86">
        <v>1</v>
      </c>
    </row>
    <row r="22" spans="1:10">
      <c r="A22" s="5" t="s">
        <v>124</v>
      </c>
      <c r="B22" s="85">
        <v>9</v>
      </c>
      <c r="C22" s="80">
        <v>4</v>
      </c>
      <c r="D22" s="80">
        <v>13</v>
      </c>
      <c r="E22" s="80">
        <v>9</v>
      </c>
      <c r="F22" s="80">
        <v>4</v>
      </c>
      <c r="G22" s="80">
        <v>13</v>
      </c>
      <c r="H22" s="86">
        <v>26</v>
      </c>
    </row>
    <row r="23" spans="1:10">
      <c r="A23" s="5" t="s">
        <v>25</v>
      </c>
      <c r="B23" s="85">
        <v>764</v>
      </c>
      <c r="C23" s="80">
        <v>180</v>
      </c>
      <c r="D23" s="80">
        <v>944</v>
      </c>
      <c r="E23" s="80">
        <v>1113</v>
      </c>
      <c r="F23" s="80">
        <v>220</v>
      </c>
      <c r="G23" s="80">
        <v>1333</v>
      </c>
      <c r="H23" s="86">
        <v>2277</v>
      </c>
    </row>
    <row r="24" spans="1:10">
      <c r="A24" s="5" t="s">
        <v>29</v>
      </c>
      <c r="B24" s="85">
        <v>0</v>
      </c>
      <c r="C24" s="74">
        <v>0</v>
      </c>
      <c r="D24" s="74">
        <v>0</v>
      </c>
      <c r="E24" s="74">
        <v>0</v>
      </c>
      <c r="F24" s="80">
        <v>1</v>
      </c>
      <c r="G24" s="80">
        <v>1</v>
      </c>
      <c r="H24" s="86">
        <v>1</v>
      </c>
    </row>
    <row r="25" spans="1:10">
      <c r="A25" s="5" t="s">
        <v>177</v>
      </c>
      <c r="B25" s="85">
        <v>0</v>
      </c>
      <c r="C25" s="74">
        <v>0</v>
      </c>
      <c r="D25" s="74">
        <v>0</v>
      </c>
      <c r="E25" s="80">
        <v>3</v>
      </c>
      <c r="F25" s="74">
        <v>0</v>
      </c>
      <c r="G25" s="80">
        <v>3</v>
      </c>
      <c r="H25" s="86">
        <v>3</v>
      </c>
    </row>
    <row r="26" spans="1:10">
      <c r="A26" s="5" t="s">
        <v>27</v>
      </c>
      <c r="B26" s="85">
        <v>211</v>
      </c>
      <c r="C26" s="80">
        <v>48</v>
      </c>
      <c r="D26" s="80">
        <v>259</v>
      </c>
      <c r="E26" s="80">
        <v>234</v>
      </c>
      <c r="F26" s="80">
        <v>42</v>
      </c>
      <c r="G26" s="80">
        <v>276</v>
      </c>
      <c r="H26" s="86">
        <v>535</v>
      </c>
    </row>
    <row r="27" spans="1:10">
      <c r="A27" s="5"/>
      <c r="B27" s="5"/>
      <c r="C27" s="77"/>
      <c r="D27" s="77"/>
      <c r="E27" s="77"/>
      <c r="F27" s="77"/>
      <c r="G27" s="77"/>
      <c r="H27" s="9"/>
    </row>
    <row r="28" spans="1:10">
      <c r="A28" s="6"/>
      <c r="B28" s="90"/>
      <c r="C28" s="91"/>
      <c r="D28" s="91"/>
      <c r="E28" s="91"/>
      <c r="F28" s="91"/>
      <c r="G28" s="91"/>
      <c r="H28" s="92"/>
    </row>
    <row r="29" spans="1:10">
      <c r="A29" s="148" t="s">
        <v>16</v>
      </c>
      <c r="B29" s="148"/>
      <c r="C29" s="148"/>
      <c r="D29" s="148"/>
      <c r="E29" s="77"/>
      <c r="F29" s="77"/>
      <c r="G29" s="77"/>
      <c r="H29" s="77"/>
      <c r="I29" s="77"/>
      <c r="J29" s="77"/>
    </row>
    <row r="30" spans="1:10" ht="30.75" customHeight="1">
      <c r="A30" s="148" t="s">
        <v>345</v>
      </c>
      <c r="B30" s="148"/>
      <c r="C30" s="148"/>
      <c r="D30" s="148"/>
      <c r="E30" s="148"/>
      <c r="F30" s="148"/>
      <c r="G30" s="148"/>
      <c r="H30" s="148"/>
      <c r="I30" s="93"/>
      <c r="J30" s="93"/>
    </row>
  </sheetData>
  <mergeCells count="12">
    <mergeCell ref="A29:D29"/>
    <mergeCell ref="A30:H30"/>
    <mergeCell ref="A1:H1"/>
    <mergeCell ref="A2:H2"/>
    <mergeCell ref="A3:H3"/>
    <mergeCell ref="A4:H4"/>
    <mergeCell ref="A5:H5"/>
    <mergeCell ref="A7:A9"/>
    <mergeCell ref="B7:G7"/>
    <mergeCell ref="H7:H9"/>
    <mergeCell ref="B8:D8"/>
    <mergeCell ref="E8:G8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39"/>
  <sheetViews>
    <sheetView workbookViewId="0">
      <selection activeCell="N24" sqref="N24"/>
    </sheetView>
  </sheetViews>
  <sheetFormatPr baseColWidth="10" defaultRowHeight="15"/>
  <cols>
    <col min="2" max="2" width="18.7109375" customWidth="1"/>
    <col min="3" max="3" width="15.28515625" customWidth="1"/>
    <col min="4" max="4" width="15.140625" customWidth="1"/>
  </cols>
  <sheetData>
    <row r="1" spans="2:4">
      <c r="B1" s="185" t="s">
        <v>18</v>
      </c>
      <c r="C1" s="185"/>
      <c r="D1" s="185"/>
    </row>
    <row r="2" spans="2:4">
      <c r="B2" s="185" t="s">
        <v>38</v>
      </c>
      <c r="C2" s="185"/>
      <c r="D2" s="185"/>
    </row>
    <row r="3" spans="2:4">
      <c r="B3" s="185" t="s">
        <v>20</v>
      </c>
      <c r="C3" s="185"/>
      <c r="D3" s="185"/>
    </row>
    <row r="4" spans="2:4">
      <c r="B4" s="15"/>
      <c r="C4" s="15"/>
      <c r="D4" s="15"/>
    </row>
    <row r="5" spans="2:4">
      <c r="B5" s="16"/>
      <c r="C5" s="16"/>
      <c r="D5" s="16"/>
    </row>
    <row r="6" spans="2:4">
      <c r="B6" s="17" t="s">
        <v>37</v>
      </c>
      <c r="C6" s="17" t="s">
        <v>36</v>
      </c>
      <c r="D6" s="17" t="s">
        <v>22</v>
      </c>
    </row>
    <row r="7" spans="2:4">
      <c r="B7" s="18"/>
      <c r="C7" s="19"/>
      <c r="D7" s="20"/>
    </row>
    <row r="8" spans="2:4">
      <c r="B8" s="21" t="s">
        <v>23</v>
      </c>
      <c r="C8" s="22">
        <f>SUM(C10:C22)</f>
        <v>11673</v>
      </c>
      <c r="D8" s="23">
        <f>SUM(D10:D22)</f>
        <v>664</v>
      </c>
    </row>
    <row r="9" spans="2:4">
      <c r="B9" s="24"/>
      <c r="C9" s="25"/>
      <c r="D9" s="26"/>
    </row>
    <row r="10" spans="2:4">
      <c r="B10" s="27" t="s">
        <v>25</v>
      </c>
      <c r="C10" s="28">
        <v>7215</v>
      </c>
      <c r="D10" s="29">
        <v>506</v>
      </c>
    </row>
    <row r="11" spans="2:4">
      <c r="B11" s="27" t="s">
        <v>26</v>
      </c>
      <c r="C11" s="28">
        <v>668</v>
      </c>
      <c r="D11" s="29">
        <v>13</v>
      </c>
    </row>
    <row r="12" spans="2:4">
      <c r="B12" s="27" t="s">
        <v>27</v>
      </c>
      <c r="C12" s="28">
        <v>638</v>
      </c>
      <c r="D12" s="29">
        <v>28</v>
      </c>
    </row>
    <row r="13" spans="2:4">
      <c r="B13" s="27" t="s">
        <v>28</v>
      </c>
      <c r="C13" s="28">
        <v>515</v>
      </c>
      <c r="D13" s="29">
        <v>36</v>
      </c>
    </row>
    <row r="14" spans="2:4">
      <c r="B14" s="27" t="s">
        <v>29</v>
      </c>
      <c r="C14" s="28">
        <v>318</v>
      </c>
      <c r="D14" s="29">
        <v>12</v>
      </c>
    </row>
    <row r="15" spans="2:4">
      <c r="B15" s="27" t="s">
        <v>30</v>
      </c>
      <c r="C15" s="28">
        <v>227</v>
      </c>
      <c r="D15" s="29">
        <v>1</v>
      </c>
    </row>
    <row r="16" spans="2:4">
      <c r="B16" s="27" t="s">
        <v>31</v>
      </c>
      <c r="C16" s="28">
        <v>162</v>
      </c>
      <c r="D16" s="29">
        <v>3</v>
      </c>
    </row>
    <row r="17" spans="2:4">
      <c r="B17" s="27" t="s">
        <v>32</v>
      </c>
      <c r="C17" s="28">
        <v>120</v>
      </c>
      <c r="D17" s="29">
        <v>27</v>
      </c>
    </row>
    <row r="18" spans="2:4">
      <c r="B18" s="27" t="s">
        <v>33</v>
      </c>
      <c r="C18" s="28">
        <v>118</v>
      </c>
      <c r="D18" s="29">
        <v>0</v>
      </c>
    </row>
    <row r="19" spans="2:4">
      <c r="B19" s="27" t="s">
        <v>34</v>
      </c>
      <c r="C19" s="28">
        <v>113</v>
      </c>
      <c r="D19" s="29">
        <v>0</v>
      </c>
    </row>
    <row r="20" spans="2:4">
      <c r="B20" s="27" t="s">
        <v>35</v>
      </c>
      <c r="C20" s="28">
        <v>103</v>
      </c>
      <c r="D20" s="29">
        <v>1</v>
      </c>
    </row>
    <row r="21" spans="2:4">
      <c r="B21" s="27"/>
      <c r="C21" s="28"/>
      <c r="D21" s="29"/>
    </row>
    <row r="22" spans="2:4">
      <c r="B22" s="27" t="s">
        <v>24</v>
      </c>
      <c r="C22" s="28">
        <v>1476</v>
      </c>
      <c r="D22" s="29">
        <v>37</v>
      </c>
    </row>
    <row r="23" spans="2:4">
      <c r="B23" s="30"/>
      <c r="C23" s="31"/>
      <c r="D23" s="32"/>
    </row>
    <row r="24" spans="2:4">
      <c r="B24" s="2" t="s">
        <v>16</v>
      </c>
      <c r="C24" s="33"/>
      <c r="D24" s="33"/>
    </row>
    <row r="25" spans="2:4" ht="42" customHeight="1">
      <c r="B25" s="150" t="s">
        <v>39</v>
      </c>
      <c r="C25" s="186"/>
      <c r="D25" s="186"/>
    </row>
    <row r="26" spans="2:4">
      <c r="B26" s="11"/>
      <c r="C26" s="12"/>
    </row>
    <row r="27" spans="2:4">
      <c r="B27" s="11"/>
      <c r="C27" s="12"/>
    </row>
    <row r="28" spans="2:4">
      <c r="B28" s="11"/>
      <c r="C28" s="12"/>
    </row>
    <row r="29" spans="2:4">
      <c r="B29" s="11"/>
      <c r="C29" s="12"/>
    </row>
    <row r="30" spans="2:4">
      <c r="B30" s="11"/>
      <c r="C30" s="12"/>
    </row>
    <row r="31" spans="2:4">
      <c r="B31" s="11"/>
      <c r="C31" s="12"/>
    </row>
    <row r="32" spans="2:4">
      <c r="B32" s="11"/>
      <c r="C32" s="12"/>
    </row>
    <row r="33" spans="2:3">
      <c r="B33" s="11"/>
      <c r="C33" s="12"/>
    </row>
    <row r="34" spans="2:3">
      <c r="B34" s="11"/>
      <c r="C34" s="12"/>
    </row>
    <row r="35" spans="2:3">
      <c r="B35" s="11"/>
      <c r="C35" s="12"/>
    </row>
    <row r="36" spans="2:3">
      <c r="B36" s="11"/>
      <c r="C36" s="12"/>
    </row>
    <row r="37" spans="2:3">
      <c r="B37" s="11"/>
      <c r="C37" s="12"/>
    </row>
    <row r="38" spans="2:3">
      <c r="B38" s="11"/>
      <c r="C38" s="12"/>
    </row>
    <row r="39" spans="2:3">
      <c r="B39" s="11"/>
      <c r="C39" s="12"/>
    </row>
    <row r="40" spans="2:3">
      <c r="B40" s="11"/>
      <c r="C40" s="12"/>
    </row>
    <row r="41" spans="2:3">
      <c r="B41" s="11"/>
      <c r="C41" s="12"/>
    </row>
    <row r="42" spans="2:3">
      <c r="B42" s="11"/>
      <c r="C42" s="12"/>
    </row>
    <row r="43" spans="2:3">
      <c r="B43" s="11"/>
      <c r="C43" s="12"/>
    </row>
    <row r="44" spans="2:3">
      <c r="B44" s="11"/>
      <c r="C44" s="12"/>
    </row>
    <row r="45" spans="2:3">
      <c r="B45" s="11"/>
      <c r="C45" s="12"/>
    </row>
    <row r="46" spans="2:3">
      <c r="B46" s="11"/>
      <c r="C46" s="12"/>
    </row>
    <row r="47" spans="2:3">
      <c r="B47" s="11"/>
      <c r="C47" s="12"/>
    </row>
    <row r="48" spans="2:3">
      <c r="B48" s="11"/>
      <c r="C48" s="12"/>
    </row>
    <row r="49" spans="2:3">
      <c r="B49" s="11"/>
      <c r="C49" s="12"/>
    </row>
    <row r="50" spans="2:3">
      <c r="B50" s="11"/>
      <c r="C50" s="12"/>
    </row>
    <row r="51" spans="2:3">
      <c r="B51" s="11"/>
      <c r="C51" s="12"/>
    </row>
    <row r="52" spans="2:3">
      <c r="B52" s="11"/>
      <c r="C52" s="12"/>
    </row>
    <row r="53" spans="2:3">
      <c r="B53" s="11"/>
      <c r="C53" s="12"/>
    </row>
    <row r="54" spans="2:3">
      <c r="B54" s="11"/>
      <c r="C54" s="12"/>
    </row>
    <row r="55" spans="2:3">
      <c r="B55" s="11"/>
      <c r="C55" s="12"/>
    </row>
    <row r="56" spans="2:3">
      <c r="B56" s="11"/>
      <c r="C56" s="12"/>
    </row>
    <row r="57" spans="2:3">
      <c r="B57" s="11"/>
      <c r="C57" s="12"/>
    </row>
    <row r="58" spans="2:3">
      <c r="B58" s="11"/>
      <c r="C58" s="12"/>
    </row>
    <row r="59" spans="2:3">
      <c r="B59" s="11"/>
      <c r="C59" s="12"/>
    </row>
    <row r="60" spans="2:3">
      <c r="B60" s="11"/>
      <c r="C60" s="12"/>
    </row>
    <row r="61" spans="2:3">
      <c r="B61" s="11"/>
      <c r="C61" s="12"/>
    </row>
    <row r="62" spans="2:3">
      <c r="B62" s="11"/>
      <c r="C62" s="12"/>
    </row>
    <row r="63" spans="2:3">
      <c r="B63" s="11"/>
      <c r="C63" s="12"/>
    </row>
    <row r="64" spans="2:3">
      <c r="B64" s="11"/>
      <c r="C64" s="12"/>
    </row>
    <row r="65" spans="2:3">
      <c r="B65" s="11"/>
      <c r="C65" s="12"/>
    </row>
    <row r="66" spans="2:3">
      <c r="B66" s="11"/>
      <c r="C66" s="12"/>
    </row>
    <row r="67" spans="2:3">
      <c r="B67" s="11"/>
      <c r="C67" s="12"/>
    </row>
    <row r="68" spans="2:3">
      <c r="B68" s="11"/>
      <c r="C68" s="12"/>
    </row>
    <row r="69" spans="2:3">
      <c r="B69" s="11"/>
      <c r="C69" s="12"/>
    </row>
    <row r="70" spans="2:3">
      <c r="B70" s="11"/>
      <c r="C70" s="12"/>
    </row>
    <row r="71" spans="2:3">
      <c r="B71" s="11"/>
      <c r="C71" s="12"/>
    </row>
    <row r="72" spans="2:3">
      <c r="B72" s="11"/>
      <c r="C72" s="12"/>
    </row>
    <row r="73" spans="2:3">
      <c r="B73" s="11"/>
      <c r="C73" s="12"/>
    </row>
    <row r="74" spans="2:3">
      <c r="B74" s="11"/>
      <c r="C74" s="12"/>
    </row>
    <row r="75" spans="2:3">
      <c r="B75" s="11"/>
      <c r="C75" s="12"/>
    </row>
    <row r="76" spans="2:3">
      <c r="B76" s="11"/>
      <c r="C76" s="12"/>
    </row>
    <row r="77" spans="2:3">
      <c r="B77" s="11"/>
      <c r="C77" s="12"/>
    </row>
    <row r="78" spans="2:3">
      <c r="B78" s="11"/>
      <c r="C78" s="12"/>
    </row>
    <row r="79" spans="2:3">
      <c r="B79" s="11"/>
      <c r="C79" s="12"/>
    </row>
    <row r="80" spans="2:3">
      <c r="B80" s="11"/>
      <c r="C80" s="12"/>
    </row>
    <row r="81" spans="2:3">
      <c r="B81" s="11"/>
      <c r="C81" s="12"/>
    </row>
    <row r="82" spans="2:3">
      <c r="B82" s="11"/>
      <c r="C82" s="12"/>
    </row>
    <row r="83" spans="2:3">
      <c r="B83" s="11"/>
      <c r="C83" s="12"/>
    </row>
    <row r="84" spans="2:3">
      <c r="B84" s="11"/>
      <c r="C84" s="12"/>
    </row>
    <row r="85" spans="2:3">
      <c r="B85" s="11"/>
      <c r="C85" s="12"/>
    </row>
    <row r="86" spans="2:3">
      <c r="B86" s="11"/>
      <c r="C86" s="12"/>
    </row>
    <row r="87" spans="2:3">
      <c r="B87" s="11"/>
      <c r="C87" s="12"/>
    </row>
    <row r="88" spans="2:3">
      <c r="B88" s="11"/>
      <c r="C88" s="12"/>
    </row>
    <row r="89" spans="2:3">
      <c r="B89" s="11"/>
      <c r="C89" s="12"/>
    </row>
    <row r="90" spans="2:3">
      <c r="B90" s="11"/>
      <c r="C90" s="12"/>
    </row>
    <row r="91" spans="2:3">
      <c r="B91" s="11"/>
      <c r="C91" s="12"/>
    </row>
    <row r="92" spans="2:3">
      <c r="B92" s="11"/>
      <c r="C92" s="12"/>
    </row>
    <row r="93" spans="2:3">
      <c r="B93" s="11"/>
      <c r="C93" s="12"/>
    </row>
    <row r="94" spans="2:3">
      <c r="B94" s="11"/>
      <c r="C94" s="12"/>
    </row>
    <row r="95" spans="2:3">
      <c r="B95" s="11"/>
      <c r="C95" s="12"/>
    </row>
    <row r="96" spans="2:3">
      <c r="B96" s="11"/>
      <c r="C96" s="12"/>
    </row>
    <row r="97" spans="2:3">
      <c r="B97" s="11"/>
      <c r="C97" s="12"/>
    </row>
    <row r="98" spans="2:3">
      <c r="B98" s="11"/>
      <c r="C98" s="12"/>
    </row>
    <row r="99" spans="2:3">
      <c r="B99" s="11"/>
      <c r="C99" s="12"/>
    </row>
    <row r="100" spans="2:3">
      <c r="B100" s="11"/>
      <c r="C100" s="12"/>
    </row>
    <row r="101" spans="2:3">
      <c r="B101" s="11"/>
      <c r="C101" s="12"/>
    </row>
    <row r="102" spans="2:3">
      <c r="B102" s="11"/>
      <c r="C102" s="12"/>
    </row>
    <row r="103" spans="2:3">
      <c r="B103" s="11"/>
      <c r="C103" s="12"/>
    </row>
    <row r="104" spans="2:3">
      <c r="B104" s="11"/>
      <c r="C104" s="12"/>
    </row>
    <row r="105" spans="2:3">
      <c r="B105" s="11"/>
      <c r="C105" s="12"/>
    </row>
    <row r="106" spans="2:3">
      <c r="B106" s="11"/>
      <c r="C106" s="12"/>
    </row>
    <row r="107" spans="2:3">
      <c r="B107" s="11"/>
      <c r="C107" s="12"/>
    </row>
    <row r="108" spans="2:3">
      <c r="B108" s="11"/>
      <c r="C108" s="12"/>
    </row>
    <row r="109" spans="2:3">
      <c r="B109" s="11"/>
      <c r="C109" s="12"/>
    </row>
    <row r="110" spans="2:3">
      <c r="B110" s="11"/>
      <c r="C110" s="12"/>
    </row>
    <row r="111" spans="2:3">
      <c r="B111" s="11"/>
      <c r="C111" s="12"/>
    </row>
    <row r="112" spans="2:3">
      <c r="B112" s="11"/>
      <c r="C112" s="12"/>
    </row>
    <row r="113" spans="2:3">
      <c r="B113" s="11"/>
      <c r="C113" s="12"/>
    </row>
    <row r="114" spans="2:3">
      <c r="B114" s="11"/>
      <c r="C114" s="12"/>
    </row>
    <row r="115" spans="2:3">
      <c r="B115" s="11"/>
      <c r="C115" s="12"/>
    </row>
    <row r="116" spans="2:3">
      <c r="B116" s="11"/>
      <c r="C116" s="12"/>
    </row>
    <row r="117" spans="2:3">
      <c r="B117" s="11"/>
      <c r="C117" s="12"/>
    </row>
    <row r="118" spans="2:3">
      <c r="B118" s="11"/>
      <c r="C118" s="12"/>
    </row>
    <row r="119" spans="2:3">
      <c r="B119" s="11"/>
      <c r="C119" s="12"/>
    </row>
    <row r="120" spans="2:3">
      <c r="B120" s="11"/>
      <c r="C120" s="12"/>
    </row>
    <row r="121" spans="2:3">
      <c r="B121" s="11"/>
      <c r="C121" s="12"/>
    </row>
    <row r="122" spans="2:3">
      <c r="B122" s="11"/>
      <c r="C122" s="12"/>
    </row>
    <row r="123" spans="2:3">
      <c r="B123" s="11"/>
      <c r="C123" s="12"/>
    </row>
    <row r="124" spans="2:3">
      <c r="B124" s="11"/>
      <c r="C124" s="12"/>
    </row>
    <row r="125" spans="2:3">
      <c r="B125" s="11"/>
      <c r="C125" s="12"/>
    </row>
    <row r="126" spans="2:3">
      <c r="B126" s="11"/>
      <c r="C126" s="12"/>
    </row>
    <row r="127" spans="2:3">
      <c r="B127" s="11"/>
      <c r="C127" s="12"/>
    </row>
    <row r="128" spans="2:3">
      <c r="B128" s="11"/>
      <c r="C128" s="12"/>
    </row>
    <row r="129" spans="2:3">
      <c r="B129" s="11"/>
      <c r="C129" s="12"/>
    </row>
    <row r="130" spans="2:3">
      <c r="B130" s="11"/>
      <c r="C130" s="12"/>
    </row>
    <row r="131" spans="2:3">
      <c r="B131" s="11"/>
      <c r="C131" s="12"/>
    </row>
    <row r="132" spans="2:3">
      <c r="B132" s="11"/>
      <c r="C132" s="12"/>
    </row>
    <row r="133" spans="2:3">
      <c r="B133" s="11"/>
      <c r="C133" s="12"/>
    </row>
    <row r="134" spans="2:3">
      <c r="B134" s="11"/>
      <c r="C134" s="12"/>
    </row>
    <row r="135" spans="2:3">
      <c r="B135" s="11"/>
      <c r="C135" s="12"/>
    </row>
    <row r="136" spans="2:3">
      <c r="B136" s="11"/>
      <c r="C136" s="12"/>
    </row>
    <row r="137" spans="2:3">
      <c r="B137" s="11"/>
      <c r="C137" s="12"/>
    </row>
    <row r="138" spans="2:3">
      <c r="B138" s="11"/>
      <c r="C138" s="12"/>
    </row>
    <row r="139" spans="2:3">
      <c r="B139" s="13"/>
      <c r="C139" s="14"/>
    </row>
  </sheetData>
  <mergeCells count="4">
    <mergeCell ref="B1:D1"/>
    <mergeCell ref="B2:D2"/>
    <mergeCell ref="B3:D3"/>
    <mergeCell ref="B25:D25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13"/>
  <sheetViews>
    <sheetView tabSelected="1" workbookViewId="0">
      <selection activeCell="L228" sqref="L228"/>
    </sheetView>
  </sheetViews>
  <sheetFormatPr baseColWidth="10" defaultRowHeight="15"/>
  <cols>
    <col min="1" max="1" width="29.7109375" customWidth="1"/>
    <col min="2" max="2" width="10.42578125" customWidth="1"/>
    <col min="3" max="3" width="9.42578125" customWidth="1"/>
    <col min="4" max="5" width="7.7109375" customWidth="1"/>
    <col min="6" max="6" width="8.85546875" customWidth="1"/>
    <col min="7" max="7" width="9.42578125" customWidth="1"/>
    <col min="8" max="31" width="7.7109375" customWidth="1"/>
  </cols>
  <sheetData>
    <row r="1" spans="1:31">
      <c r="A1" s="192" t="s">
        <v>18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</row>
    <row r="2" spans="1:31">
      <c r="A2" s="192" t="s">
        <v>382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</row>
    <row r="3" spans="1:31">
      <c r="A3" s="192" t="s">
        <v>383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</row>
    <row r="4" spans="1:31">
      <c r="A4" s="192" t="s">
        <v>393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</row>
    <row r="5" spans="1:31">
      <c r="A5" s="193" t="s">
        <v>401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</row>
    <row r="6" spans="1:31">
      <c r="A6" s="124"/>
      <c r="B6" s="7"/>
      <c r="C6" s="8"/>
      <c r="D6" s="124"/>
      <c r="E6" s="124"/>
      <c r="F6" s="124"/>
      <c r="I6" s="124"/>
      <c r="J6" s="124"/>
      <c r="K6" s="124"/>
      <c r="L6" s="124"/>
      <c r="M6" s="124"/>
      <c r="N6" s="124"/>
      <c r="O6" s="124"/>
      <c r="P6" s="124"/>
      <c r="Q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</row>
    <row r="7" spans="1:31" ht="15" customHeight="1">
      <c r="A7" s="190" t="s">
        <v>356</v>
      </c>
      <c r="B7" s="190" t="s">
        <v>0</v>
      </c>
      <c r="C7" s="190"/>
      <c r="D7" s="189" t="s">
        <v>384</v>
      </c>
      <c r="E7" s="189"/>
      <c r="F7" s="189"/>
      <c r="G7" s="189"/>
      <c r="H7" s="189"/>
      <c r="I7" s="189"/>
      <c r="J7" s="189"/>
      <c r="K7" s="189"/>
      <c r="L7" s="187" t="s">
        <v>385</v>
      </c>
      <c r="M7" s="187"/>
      <c r="N7" s="187" t="s">
        <v>13</v>
      </c>
      <c r="O7" s="187"/>
      <c r="P7" s="187" t="s">
        <v>7</v>
      </c>
      <c r="Q7" s="187"/>
      <c r="R7" s="187" t="s">
        <v>10</v>
      </c>
      <c r="S7" s="187"/>
      <c r="T7" s="187" t="s">
        <v>386</v>
      </c>
      <c r="U7" s="187"/>
      <c r="V7" s="187" t="s">
        <v>5</v>
      </c>
      <c r="W7" s="187"/>
      <c r="X7" s="187" t="s">
        <v>8</v>
      </c>
      <c r="Y7" s="187"/>
      <c r="Z7" s="187" t="s">
        <v>11</v>
      </c>
      <c r="AA7" s="187"/>
      <c r="AB7" s="187" t="s">
        <v>12</v>
      </c>
      <c r="AC7" s="187"/>
      <c r="AD7" s="187" t="s">
        <v>9</v>
      </c>
      <c r="AE7" s="187"/>
    </row>
    <row r="8" spans="1:31">
      <c r="A8" s="190"/>
      <c r="B8" s="190"/>
      <c r="C8" s="190"/>
      <c r="D8" s="189" t="s">
        <v>387</v>
      </c>
      <c r="E8" s="189"/>
      <c r="F8" s="189" t="s">
        <v>388</v>
      </c>
      <c r="G8" s="189"/>
      <c r="H8" s="189" t="s">
        <v>389</v>
      </c>
      <c r="I8" s="189"/>
      <c r="J8" s="189" t="s">
        <v>390</v>
      </c>
      <c r="K8" s="189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</row>
    <row r="9" spans="1:31">
      <c r="A9" s="191"/>
      <c r="B9" s="125" t="s">
        <v>391</v>
      </c>
      <c r="C9" s="125" t="s">
        <v>392</v>
      </c>
      <c r="D9" s="125" t="s">
        <v>391</v>
      </c>
      <c r="E9" s="125" t="s">
        <v>392</v>
      </c>
      <c r="F9" s="125" t="s">
        <v>391</v>
      </c>
      <c r="G9" s="125" t="s">
        <v>392</v>
      </c>
      <c r="H9" s="125" t="s">
        <v>391</v>
      </c>
      <c r="I9" s="125" t="s">
        <v>392</v>
      </c>
      <c r="J9" s="125" t="s">
        <v>391</v>
      </c>
      <c r="K9" s="125" t="s">
        <v>392</v>
      </c>
      <c r="L9" s="125" t="s">
        <v>391</v>
      </c>
      <c r="M9" s="125" t="s">
        <v>392</v>
      </c>
      <c r="N9" s="125" t="s">
        <v>391</v>
      </c>
      <c r="O9" s="125" t="s">
        <v>392</v>
      </c>
      <c r="P9" s="125" t="s">
        <v>391</v>
      </c>
      <c r="Q9" s="125" t="s">
        <v>392</v>
      </c>
      <c r="R9" s="125" t="s">
        <v>391</v>
      </c>
      <c r="S9" s="125" t="s">
        <v>392</v>
      </c>
      <c r="T9" s="125" t="s">
        <v>391</v>
      </c>
      <c r="U9" s="125" t="s">
        <v>392</v>
      </c>
      <c r="V9" s="125" t="s">
        <v>391</v>
      </c>
      <c r="W9" s="125" t="s">
        <v>392</v>
      </c>
      <c r="X9" s="125" t="s">
        <v>391</v>
      </c>
      <c r="Y9" s="125" t="s">
        <v>392</v>
      </c>
      <c r="Z9" s="125" t="s">
        <v>391</v>
      </c>
      <c r="AA9" s="125" t="s">
        <v>392</v>
      </c>
      <c r="AB9" s="125" t="s">
        <v>391</v>
      </c>
      <c r="AC9" s="125" t="s">
        <v>392</v>
      </c>
      <c r="AD9" s="125" t="s">
        <v>391</v>
      </c>
      <c r="AE9" s="125" t="s">
        <v>392</v>
      </c>
    </row>
    <row r="10" spans="1:31" ht="17.25" customHeight="1">
      <c r="A10" s="39"/>
      <c r="B10" s="128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30"/>
    </row>
    <row r="11" spans="1:31" s="3" customFormat="1">
      <c r="A11" s="126" t="s">
        <v>0</v>
      </c>
      <c r="B11" s="7">
        <f>D11+F11+H11+J11+L11+N11+P11+R11+T11+V11+X11+Z11+AB11+AD11</f>
        <v>3775345</v>
      </c>
      <c r="C11" s="89">
        <f>E11+G11+I11+K11+M11+O11+Q11+S11+U11+W11+Y11+AA11+AC11+AE11</f>
        <v>3825816</v>
      </c>
      <c r="D11" s="89">
        <v>714428</v>
      </c>
      <c r="E11" s="89">
        <v>732560</v>
      </c>
      <c r="F11" s="89">
        <v>2401754</v>
      </c>
      <c r="G11" s="89">
        <v>2411790</v>
      </c>
      <c r="H11" s="89">
        <v>33</v>
      </c>
      <c r="I11" s="89">
        <v>45</v>
      </c>
      <c r="J11" s="89">
        <v>1891</v>
      </c>
      <c r="K11" s="89">
        <v>2254</v>
      </c>
      <c r="L11" s="89">
        <v>121185</v>
      </c>
      <c r="M11" s="89">
        <v>129447</v>
      </c>
      <c r="N11" s="89">
        <v>11321</v>
      </c>
      <c r="O11" s="89">
        <v>5249</v>
      </c>
      <c r="P11" s="89">
        <v>421940</v>
      </c>
      <c r="Q11" s="89">
        <v>433731</v>
      </c>
      <c r="R11" s="89">
        <v>31630</v>
      </c>
      <c r="S11" s="89">
        <v>39607</v>
      </c>
      <c r="T11" s="89">
        <v>66040</v>
      </c>
      <c r="U11" s="89">
        <v>66232</v>
      </c>
      <c r="V11" s="89">
        <v>762</v>
      </c>
      <c r="W11" s="89">
        <v>733</v>
      </c>
      <c r="X11" s="89">
        <v>1149</v>
      </c>
      <c r="Y11" s="89">
        <v>786</v>
      </c>
      <c r="Z11" s="89">
        <v>1021</v>
      </c>
      <c r="AA11" s="89">
        <v>881</v>
      </c>
      <c r="AB11" s="89">
        <v>238</v>
      </c>
      <c r="AC11" s="89">
        <v>280</v>
      </c>
      <c r="AD11" s="89">
        <v>1953</v>
      </c>
      <c r="AE11" s="8">
        <v>2221</v>
      </c>
    </row>
    <row r="12" spans="1:31">
      <c r="A12" s="56"/>
      <c r="B12" s="131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132"/>
    </row>
    <row r="13" spans="1:31">
      <c r="A13" s="127" t="s">
        <v>140</v>
      </c>
      <c r="B13" s="7">
        <f>D13+F13+H13+J13+L13+N13+P13+R13+T13+V13+X13+Z13+AB13+AD13</f>
        <v>16</v>
      </c>
      <c r="C13" s="89">
        <f>E13+G13+I13+K13+M13+O13+Q13+S13+U13+W13+Y13+AA13+AC13+AE13</f>
        <v>13</v>
      </c>
      <c r="D13" s="57">
        <v>1</v>
      </c>
      <c r="E13" s="57">
        <v>1</v>
      </c>
      <c r="F13" s="57">
        <v>15</v>
      </c>
      <c r="G13" s="57">
        <v>12</v>
      </c>
      <c r="H13" s="57">
        <v>0</v>
      </c>
      <c r="I13" s="57">
        <v>0</v>
      </c>
      <c r="J13" s="57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57">
        <v>0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57">
        <v>0</v>
      </c>
      <c r="W13" s="57">
        <v>0</v>
      </c>
      <c r="X13" s="57">
        <v>0</v>
      </c>
      <c r="Y13" s="57">
        <v>0</v>
      </c>
      <c r="Z13" s="57">
        <v>0</v>
      </c>
      <c r="AA13" s="57">
        <v>0</v>
      </c>
      <c r="AB13" s="57">
        <v>0</v>
      </c>
      <c r="AC13" s="57">
        <v>0</v>
      </c>
      <c r="AD13" s="57">
        <v>0</v>
      </c>
      <c r="AE13" s="132">
        <v>0</v>
      </c>
    </row>
    <row r="14" spans="1:31">
      <c r="A14" s="127" t="s">
        <v>188</v>
      </c>
      <c r="B14" s="7">
        <f t="shared" ref="B14:B77" si="0">D14+F14+H14+J14+L14+N14+P14+R14+T14+V14+X14+Z14+AB14+AD14</f>
        <v>52</v>
      </c>
      <c r="C14" s="89">
        <f t="shared" ref="C14:C77" si="1">E14+G14+I14+K14+M14+O14+Q14+S14+U14+W14+Y14+AA14+AC14+AE14</f>
        <v>51</v>
      </c>
      <c r="D14" s="57">
        <v>9</v>
      </c>
      <c r="E14" s="57">
        <v>10</v>
      </c>
      <c r="F14" s="57">
        <v>43</v>
      </c>
      <c r="G14" s="57">
        <v>40</v>
      </c>
      <c r="H14" s="57">
        <v>0</v>
      </c>
      <c r="I14" s="57">
        <v>0</v>
      </c>
      <c r="J14" s="57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57">
        <v>0</v>
      </c>
      <c r="Q14" s="57">
        <v>0</v>
      </c>
      <c r="R14" s="57">
        <v>0</v>
      </c>
      <c r="S14" s="57">
        <v>0</v>
      </c>
      <c r="T14" s="57">
        <v>0</v>
      </c>
      <c r="U14" s="57">
        <v>0</v>
      </c>
      <c r="V14" s="57">
        <v>0</v>
      </c>
      <c r="W14" s="57">
        <v>0</v>
      </c>
      <c r="X14" s="57">
        <v>0</v>
      </c>
      <c r="Y14" s="57">
        <v>1</v>
      </c>
      <c r="Z14" s="57">
        <v>0</v>
      </c>
      <c r="AA14" s="57">
        <v>0</v>
      </c>
      <c r="AB14" s="57">
        <v>0</v>
      </c>
      <c r="AC14" s="57">
        <v>0</v>
      </c>
      <c r="AD14" s="57">
        <v>0</v>
      </c>
      <c r="AE14" s="132">
        <v>0</v>
      </c>
    </row>
    <row r="15" spans="1:31">
      <c r="A15" s="127" t="s">
        <v>189</v>
      </c>
      <c r="B15" s="7">
        <f t="shared" si="0"/>
        <v>85937</v>
      </c>
      <c r="C15" s="89">
        <f t="shared" si="1"/>
        <v>86358</v>
      </c>
      <c r="D15" s="57">
        <v>3044</v>
      </c>
      <c r="E15" s="57">
        <v>3493</v>
      </c>
      <c r="F15" s="57">
        <v>69238</v>
      </c>
      <c r="G15" s="57">
        <v>69695</v>
      </c>
      <c r="H15" s="57">
        <v>0</v>
      </c>
      <c r="I15" s="57">
        <v>6</v>
      </c>
      <c r="J15" s="57">
        <v>16</v>
      </c>
      <c r="K15" s="57">
        <v>15</v>
      </c>
      <c r="L15" s="57">
        <v>1558</v>
      </c>
      <c r="M15" s="57">
        <v>1588</v>
      </c>
      <c r="N15" s="57">
        <v>23</v>
      </c>
      <c r="O15" s="57">
        <v>43</v>
      </c>
      <c r="P15" s="57">
        <v>6073</v>
      </c>
      <c r="Q15" s="57">
        <v>5937</v>
      </c>
      <c r="R15" s="57">
        <v>228</v>
      </c>
      <c r="S15" s="57">
        <v>212</v>
      </c>
      <c r="T15" s="57">
        <v>5612</v>
      </c>
      <c r="U15" s="57">
        <v>5280</v>
      </c>
      <c r="V15" s="57">
        <v>15</v>
      </c>
      <c r="W15" s="57">
        <v>6</v>
      </c>
      <c r="X15" s="57">
        <v>10</v>
      </c>
      <c r="Y15" s="57">
        <v>5</v>
      </c>
      <c r="Z15" s="57">
        <v>10</v>
      </c>
      <c r="AA15" s="57">
        <v>10</v>
      </c>
      <c r="AB15" s="57">
        <v>14</v>
      </c>
      <c r="AC15" s="57">
        <v>7</v>
      </c>
      <c r="AD15" s="57">
        <v>96</v>
      </c>
      <c r="AE15" s="132">
        <v>61</v>
      </c>
    </row>
    <row r="16" spans="1:31">
      <c r="A16" s="127" t="s">
        <v>53</v>
      </c>
      <c r="B16" s="7">
        <f t="shared" si="0"/>
        <v>73</v>
      </c>
      <c r="C16" s="89">
        <f t="shared" si="1"/>
        <v>75</v>
      </c>
      <c r="D16" s="57">
        <v>8</v>
      </c>
      <c r="E16" s="57">
        <v>9</v>
      </c>
      <c r="F16" s="57">
        <v>61</v>
      </c>
      <c r="G16" s="57">
        <v>63</v>
      </c>
      <c r="H16" s="57">
        <v>0</v>
      </c>
      <c r="I16" s="57">
        <v>0</v>
      </c>
      <c r="J16" s="57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57">
        <v>3</v>
      </c>
      <c r="Q16" s="57">
        <v>2</v>
      </c>
      <c r="R16" s="57">
        <v>0</v>
      </c>
      <c r="S16" s="57">
        <v>0</v>
      </c>
      <c r="T16" s="57">
        <v>1</v>
      </c>
      <c r="U16" s="57">
        <v>1</v>
      </c>
      <c r="V16" s="57">
        <v>0</v>
      </c>
      <c r="W16" s="57">
        <v>0</v>
      </c>
      <c r="X16" s="57">
        <v>0</v>
      </c>
      <c r="Y16" s="57">
        <v>0</v>
      </c>
      <c r="Z16" s="57">
        <v>0</v>
      </c>
      <c r="AA16" s="57">
        <v>0</v>
      </c>
      <c r="AB16" s="57">
        <v>0</v>
      </c>
      <c r="AC16" s="57">
        <v>0</v>
      </c>
      <c r="AD16" s="57">
        <v>0</v>
      </c>
      <c r="AE16" s="132">
        <v>0</v>
      </c>
    </row>
    <row r="17" spans="1:31">
      <c r="A17" s="127" t="s">
        <v>190</v>
      </c>
      <c r="B17" s="7">
        <f t="shared" si="0"/>
        <v>95</v>
      </c>
      <c r="C17" s="89">
        <f t="shared" si="1"/>
        <v>90</v>
      </c>
      <c r="D17" s="57">
        <v>3</v>
      </c>
      <c r="E17" s="57">
        <v>4</v>
      </c>
      <c r="F17" s="57">
        <v>83</v>
      </c>
      <c r="G17" s="57">
        <v>75</v>
      </c>
      <c r="H17" s="57">
        <v>0</v>
      </c>
      <c r="I17" s="57">
        <v>0</v>
      </c>
      <c r="J17" s="57">
        <v>0</v>
      </c>
      <c r="K17" s="57">
        <v>0</v>
      </c>
      <c r="L17" s="57">
        <v>2</v>
      </c>
      <c r="M17" s="57">
        <v>1</v>
      </c>
      <c r="N17" s="57">
        <v>0</v>
      </c>
      <c r="O17" s="57">
        <v>0</v>
      </c>
      <c r="P17" s="57">
        <v>3</v>
      </c>
      <c r="Q17" s="57">
        <v>4</v>
      </c>
      <c r="R17" s="57">
        <v>0</v>
      </c>
      <c r="S17" s="57">
        <v>0</v>
      </c>
      <c r="T17" s="57">
        <v>3</v>
      </c>
      <c r="U17" s="57">
        <v>2</v>
      </c>
      <c r="V17" s="57">
        <v>0</v>
      </c>
      <c r="W17" s="57">
        <v>0</v>
      </c>
      <c r="X17" s="57">
        <v>0</v>
      </c>
      <c r="Y17" s="57">
        <v>0</v>
      </c>
      <c r="Z17" s="57">
        <v>0</v>
      </c>
      <c r="AA17" s="57">
        <v>0</v>
      </c>
      <c r="AB17" s="57">
        <v>0</v>
      </c>
      <c r="AC17" s="57">
        <v>0</v>
      </c>
      <c r="AD17" s="57">
        <v>1</v>
      </c>
      <c r="AE17" s="132">
        <v>4</v>
      </c>
    </row>
    <row r="18" spans="1:31">
      <c r="A18" s="127" t="s">
        <v>52</v>
      </c>
      <c r="B18" s="7">
        <f t="shared" si="0"/>
        <v>27</v>
      </c>
      <c r="C18" s="89">
        <f t="shared" si="1"/>
        <v>26</v>
      </c>
      <c r="D18" s="57">
        <v>1</v>
      </c>
      <c r="E18" s="57">
        <v>1</v>
      </c>
      <c r="F18" s="57">
        <v>26</v>
      </c>
      <c r="G18" s="57">
        <v>21</v>
      </c>
      <c r="H18" s="57">
        <v>0</v>
      </c>
      <c r="I18" s="57">
        <v>0</v>
      </c>
      <c r="J18" s="57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57">
        <v>0</v>
      </c>
      <c r="Q18" s="57">
        <v>4</v>
      </c>
      <c r="R18" s="57">
        <v>0</v>
      </c>
      <c r="S18" s="57">
        <v>0</v>
      </c>
      <c r="T18" s="57">
        <v>0</v>
      </c>
      <c r="U18" s="57">
        <v>0</v>
      </c>
      <c r="V18" s="57">
        <v>0</v>
      </c>
      <c r="W18" s="57">
        <v>0</v>
      </c>
      <c r="X18" s="57">
        <v>0</v>
      </c>
      <c r="Y18" s="57">
        <v>0</v>
      </c>
      <c r="Z18" s="57">
        <v>0</v>
      </c>
      <c r="AA18" s="57">
        <v>0</v>
      </c>
      <c r="AB18" s="57">
        <v>0</v>
      </c>
      <c r="AC18" s="57">
        <v>0</v>
      </c>
      <c r="AD18" s="57">
        <v>0</v>
      </c>
      <c r="AE18" s="132">
        <v>0</v>
      </c>
    </row>
    <row r="19" spans="1:31">
      <c r="A19" s="127" t="s">
        <v>105</v>
      </c>
      <c r="B19" s="7">
        <f t="shared" si="0"/>
        <v>72</v>
      </c>
      <c r="C19" s="89">
        <f t="shared" si="1"/>
        <v>70</v>
      </c>
      <c r="D19" s="57">
        <v>7</v>
      </c>
      <c r="E19" s="57">
        <v>8</v>
      </c>
      <c r="F19" s="57">
        <v>56</v>
      </c>
      <c r="G19" s="57">
        <v>57</v>
      </c>
      <c r="H19" s="57">
        <v>0</v>
      </c>
      <c r="I19" s="57">
        <v>0</v>
      </c>
      <c r="J19" s="57">
        <v>1</v>
      </c>
      <c r="K19" s="57">
        <v>1</v>
      </c>
      <c r="L19" s="57">
        <v>0</v>
      </c>
      <c r="M19" s="57">
        <v>0</v>
      </c>
      <c r="N19" s="57">
        <v>0</v>
      </c>
      <c r="O19" s="57">
        <v>0</v>
      </c>
      <c r="P19" s="57">
        <v>1</v>
      </c>
      <c r="Q19" s="57">
        <v>1</v>
      </c>
      <c r="R19" s="57">
        <v>0</v>
      </c>
      <c r="S19" s="57">
        <v>0</v>
      </c>
      <c r="T19" s="57">
        <v>0</v>
      </c>
      <c r="U19" s="57">
        <v>0</v>
      </c>
      <c r="V19" s="57">
        <v>0</v>
      </c>
      <c r="W19" s="57">
        <v>0</v>
      </c>
      <c r="X19" s="57">
        <v>1</v>
      </c>
      <c r="Y19" s="57">
        <v>0</v>
      </c>
      <c r="Z19" s="57">
        <v>0</v>
      </c>
      <c r="AA19" s="57">
        <v>0</v>
      </c>
      <c r="AB19" s="57">
        <v>0</v>
      </c>
      <c r="AC19" s="57">
        <v>0</v>
      </c>
      <c r="AD19" s="57">
        <v>6</v>
      </c>
      <c r="AE19" s="132">
        <v>3</v>
      </c>
    </row>
    <row r="20" spans="1:31">
      <c r="A20" s="127" t="s">
        <v>141</v>
      </c>
      <c r="B20" s="7">
        <f t="shared" si="0"/>
        <v>155</v>
      </c>
      <c r="C20" s="89">
        <f t="shared" si="1"/>
        <v>161</v>
      </c>
      <c r="D20" s="57">
        <v>16</v>
      </c>
      <c r="E20" s="57">
        <v>19</v>
      </c>
      <c r="F20" s="57">
        <v>125</v>
      </c>
      <c r="G20" s="57">
        <v>125</v>
      </c>
      <c r="H20" s="57">
        <v>0</v>
      </c>
      <c r="I20" s="57">
        <v>0</v>
      </c>
      <c r="J20" s="57">
        <v>2</v>
      </c>
      <c r="K20" s="57">
        <v>0</v>
      </c>
      <c r="L20" s="57">
        <v>2</v>
      </c>
      <c r="M20" s="57">
        <v>0</v>
      </c>
      <c r="N20" s="57">
        <v>0</v>
      </c>
      <c r="O20" s="57">
        <v>0</v>
      </c>
      <c r="P20" s="57">
        <v>6</v>
      </c>
      <c r="Q20" s="57">
        <v>13</v>
      </c>
      <c r="R20" s="57">
        <v>2</v>
      </c>
      <c r="S20" s="57">
        <v>2</v>
      </c>
      <c r="T20" s="57">
        <v>2</v>
      </c>
      <c r="U20" s="57">
        <v>2</v>
      </c>
      <c r="V20" s="57">
        <v>0</v>
      </c>
      <c r="W20" s="57">
        <v>0</v>
      </c>
      <c r="X20" s="57">
        <v>0</v>
      </c>
      <c r="Y20" s="57">
        <v>0</v>
      </c>
      <c r="Z20" s="57">
        <v>0</v>
      </c>
      <c r="AA20" s="57">
        <v>0</v>
      </c>
      <c r="AB20" s="57">
        <v>0</v>
      </c>
      <c r="AC20" s="57">
        <v>0</v>
      </c>
      <c r="AD20" s="57">
        <v>0</v>
      </c>
      <c r="AE20" s="132">
        <v>0</v>
      </c>
    </row>
    <row r="21" spans="1:31">
      <c r="A21" s="127" t="s">
        <v>107</v>
      </c>
      <c r="B21" s="7">
        <f t="shared" si="0"/>
        <v>24160</v>
      </c>
      <c r="C21" s="89">
        <f t="shared" si="1"/>
        <v>23693</v>
      </c>
      <c r="D21" s="57">
        <v>536</v>
      </c>
      <c r="E21" s="57">
        <v>524</v>
      </c>
      <c r="F21" s="57">
        <v>20451</v>
      </c>
      <c r="G21" s="57">
        <v>20107</v>
      </c>
      <c r="H21" s="57">
        <v>0</v>
      </c>
      <c r="I21" s="57">
        <v>0</v>
      </c>
      <c r="J21" s="57">
        <v>9</v>
      </c>
      <c r="K21" s="57">
        <v>3</v>
      </c>
      <c r="L21" s="57">
        <v>365</v>
      </c>
      <c r="M21" s="57">
        <v>320</v>
      </c>
      <c r="N21" s="57">
        <v>4</v>
      </c>
      <c r="O21" s="57">
        <v>6</v>
      </c>
      <c r="P21" s="57">
        <v>1527</v>
      </c>
      <c r="Q21" s="57">
        <v>1594</v>
      </c>
      <c r="R21" s="57">
        <v>30</v>
      </c>
      <c r="S21" s="57">
        <v>35</v>
      </c>
      <c r="T21" s="57">
        <v>1230</v>
      </c>
      <c r="U21" s="57">
        <v>1089</v>
      </c>
      <c r="V21" s="57">
        <v>1</v>
      </c>
      <c r="W21" s="57">
        <v>4</v>
      </c>
      <c r="X21" s="57">
        <v>1</v>
      </c>
      <c r="Y21" s="57">
        <v>4</v>
      </c>
      <c r="Z21" s="57">
        <v>2</v>
      </c>
      <c r="AA21" s="57">
        <v>2</v>
      </c>
      <c r="AB21" s="57">
        <v>3</v>
      </c>
      <c r="AC21" s="57">
        <v>2</v>
      </c>
      <c r="AD21" s="57">
        <v>1</v>
      </c>
      <c r="AE21" s="132">
        <v>3</v>
      </c>
    </row>
    <row r="22" spans="1:31">
      <c r="A22" s="127" t="s">
        <v>142</v>
      </c>
      <c r="B22" s="7">
        <f t="shared" si="0"/>
        <v>58</v>
      </c>
      <c r="C22" s="89">
        <f t="shared" si="1"/>
        <v>59</v>
      </c>
      <c r="D22" s="57">
        <v>13</v>
      </c>
      <c r="E22" s="57">
        <v>12</v>
      </c>
      <c r="F22" s="57">
        <v>45</v>
      </c>
      <c r="G22" s="57">
        <v>46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57">
        <v>0</v>
      </c>
      <c r="O22" s="57">
        <v>0</v>
      </c>
      <c r="P22" s="57">
        <v>0</v>
      </c>
      <c r="Q22" s="57">
        <v>1</v>
      </c>
      <c r="R22" s="57">
        <v>0</v>
      </c>
      <c r="S22" s="57">
        <v>0</v>
      </c>
      <c r="T22" s="57">
        <v>0</v>
      </c>
      <c r="U22" s="57">
        <v>0</v>
      </c>
      <c r="V22" s="57">
        <v>0</v>
      </c>
      <c r="W22" s="57">
        <v>0</v>
      </c>
      <c r="X22" s="57">
        <v>0</v>
      </c>
      <c r="Y22" s="57">
        <v>0</v>
      </c>
      <c r="Z22" s="57">
        <v>0</v>
      </c>
      <c r="AA22" s="57">
        <v>0</v>
      </c>
      <c r="AB22" s="57">
        <v>0</v>
      </c>
      <c r="AC22" s="57">
        <v>0</v>
      </c>
      <c r="AD22" s="57">
        <v>0</v>
      </c>
      <c r="AE22" s="132">
        <v>0</v>
      </c>
    </row>
    <row r="23" spans="1:31">
      <c r="A23" s="127" t="s">
        <v>235</v>
      </c>
      <c r="B23" s="7">
        <f t="shared" si="0"/>
        <v>6512</v>
      </c>
      <c r="C23" s="89">
        <f t="shared" si="1"/>
        <v>6319</v>
      </c>
      <c r="D23" s="57">
        <v>1162</v>
      </c>
      <c r="E23" s="57">
        <v>1143</v>
      </c>
      <c r="F23" s="57">
        <v>3931</v>
      </c>
      <c r="G23" s="57">
        <v>3914</v>
      </c>
      <c r="H23" s="57">
        <v>0</v>
      </c>
      <c r="I23" s="57">
        <v>0</v>
      </c>
      <c r="J23" s="57">
        <v>6</v>
      </c>
      <c r="K23" s="57">
        <v>2</v>
      </c>
      <c r="L23" s="57">
        <v>118</v>
      </c>
      <c r="M23" s="57">
        <v>119</v>
      </c>
      <c r="N23" s="57">
        <v>1</v>
      </c>
      <c r="O23" s="57">
        <v>1</v>
      </c>
      <c r="P23" s="57">
        <v>980</v>
      </c>
      <c r="Q23" s="57">
        <v>686</v>
      </c>
      <c r="R23" s="57">
        <v>17</v>
      </c>
      <c r="S23" s="57">
        <v>16</v>
      </c>
      <c r="T23" s="57">
        <v>193</v>
      </c>
      <c r="U23" s="57">
        <v>311</v>
      </c>
      <c r="V23" s="57">
        <v>1</v>
      </c>
      <c r="W23" s="57">
        <v>1</v>
      </c>
      <c r="X23" s="57">
        <v>9</v>
      </c>
      <c r="Y23" s="57">
        <v>2</v>
      </c>
      <c r="Z23" s="57">
        <v>65</v>
      </c>
      <c r="AA23" s="57">
        <v>57</v>
      </c>
      <c r="AB23" s="57">
        <v>1</v>
      </c>
      <c r="AC23" s="57">
        <v>8</v>
      </c>
      <c r="AD23" s="57">
        <v>28</v>
      </c>
      <c r="AE23" s="132">
        <v>59</v>
      </c>
    </row>
    <row r="24" spans="1:31">
      <c r="A24" s="127" t="s">
        <v>191</v>
      </c>
      <c r="B24" s="7">
        <f t="shared" si="0"/>
        <v>9009</v>
      </c>
      <c r="C24" s="89">
        <f t="shared" si="1"/>
        <v>9014</v>
      </c>
      <c r="D24" s="57">
        <v>410</v>
      </c>
      <c r="E24" s="57">
        <v>479</v>
      </c>
      <c r="F24" s="57">
        <v>7258</v>
      </c>
      <c r="G24" s="57">
        <v>7278</v>
      </c>
      <c r="H24" s="57">
        <v>0</v>
      </c>
      <c r="I24" s="57">
        <v>0</v>
      </c>
      <c r="J24" s="57">
        <v>3</v>
      </c>
      <c r="K24" s="57">
        <v>2</v>
      </c>
      <c r="L24" s="57">
        <v>137</v>
      </c>
      <c r="M24" s="57">
        <v>134</v>
      </c>
      <c r="N24" s="57">
        <v>4</v>
      </c>
      <c r="O24" s="57">
        <v>3</v>
      </c>
      <c r="P24" s="57">
        <v>631</v>
      </c>
      <c r="Q24" s="57">
        <v>636</v>
      </c>
      <c r="R24" s="57">
        <v>16</v>
      </c>
      <c r="S24" s="57">
        <v>11</v>
      </c>
      <c r="T24" s="57">
        <v>536</v>
      </c>
      <c r="U24" s="57">
        <v>463</v>
      </c>
      <c r="V24" s="57">
        <v>1</v>
      </c>
      <c r="W24" s="57">
        <v>2</v>
      </c>
      <c r="X24" s="57">
        <v>0</v>
      </c>
      <c r="Y24" s="57">
        <v>0</v>
      </c>
      <c r="Z24" s="57">
        <v>1</v>
      </c>
      <c r="AA24" s="57">
        <v>2</v>
      </c>
      <c r="AB24" s="57">
        <v>0</v>
      </c>
      <c r="AC24" s="57">
        <v>0</v>
      </c>
      <c r="AD24" s="57">
        <v>12</v>
      </c>
      <c r="AE24" s="132">
        <v>4</v>
      </c>
    </row>
    <row r="25" spans="1:31">
      <c r="A25" s="127" t="s">
        <v>143</v>
      </c>
      <c r="B25" s="7">
        <f t="shared" si="0"/>
        <v>28</v>
      </c>
      <c r="C25" s="89">
        <f t="shared" si="1"/>
        <v>27</v>
      </c>
      <c r="D25" s="57">
        <v>1</v>
      </c>
      <c r="E25" s="57">
        <v>1</v>
      </c>
      <c r="F25" s="57">
        <v>25</v>
      </c>
      <c r="G25" s="57">
        <v>26</v>
      </c>
      <c r="H25" s="57">
        <v>0</v>
      </c>
      <c r="I25" s="57">
        <v>0</v>
      </c>
      <c r="J25" s="57">
        <v>0</v>
      </c>
      <c r="K25" s="57">
        <v>0</v>
      </c>
      <c r="L25" s="57">
        <v>1</v>
      </c>
      <c r="M25" s="57">
        <v>0</v>
      </c>
      <c r="N25" s="57">
        <v>0</v>
      </c>
      <c r="O25" s="57">
        <v>0</v>
      </c>
      <c r="P25" s="57">
        <v>1</v>
      </c>
      <c r="Q25" s="57">
        <v>0</v>
      </c>
      <c r="R25" s="57">
        <v>0</v>
      </c>
      <c r="S25" s="57">
        <v>0</v>
      </c>
      <c r="T25" s="57">
        <v>0</v>
      </c>
      <c r="U25" s="57">
        <v>0</v>
      </c>
      <c r="V25" s="57">
        <v>0</v>
      </c>
      <c r="W25" s="57">
        <v>0</v>
      </c>
      <c r="X25" s="57">
        <v>0</v>
      </c>
      <c r="Y25" s="57">
        <v>0</v>
      </c>
      <c r="Z25" s="57">
        <v>0</v>
      </c>
      <c r="AA25" s="57">
        <v>0</v>
      </c>
      <c r="AB25" s="57">
        <v>0</v>
      </c>
      <c r="AC25" s="57">
        <v>0</v>
      </c>
      <c r="AD25" s="57">
        <v>0</v>
      </c>
      <c r="AE25" s="132">
        <v>0</v>
      </c>
    </row>
    <row r="26" spans="1:31">
      <c r="A26" s="127" t="s">
        <v>109</v>
      </c>
      <c r="B26" s="7">
        <f t="shared" si="0"/>
        <v>346</v>
      </c>
      <c r="C26" s="89">
        <f t="shared" si="1"/>
        <v>341</v>
      </c>
      <c r="D26" s="57">
        <v>47</v>
      </c>
      <c r="E26" s="57">
        <v>43</v>
      </c>
      <c r="F26" s="57">
        <v>292</v>
      </c>
      <c r="G26" s="57">
        <v>290</v>
      </c>
      <c r="H26" s="57">
        <v>0</v>
      </c>
      <c r="I26" s="57">
        <v>0</v>
      </c>
      <c r="J26" s="57">
        <v>0</v>
      </c>
      <c r="K26" s="57">
        <v>0</v>
      </c>
      <c r="L26" s="57">
        <v>2</v>
      </c>
      <c r="M26" s="57">
        <v>1</v>
      </c>
      <c r="N26" s="57">
        <v>0</v>
      </c>
      <c r="O26" s="57">
        <v>0</v>
      </c>
      <c r="P26" s="57">
        <v>2</v>
      </c>
      <c r="Q26" s="57">
        <v>3</v>
      </c>
      <c r="R26" s="57">
        <v>0</v>
      </c>
      <c r="S26" s="57">
        <v>0</v>
      </c>
      <c r="T26" s="57">
        <v>2</v>
      </c>
      <c r="U26" s="57">
        <v>3</v>
      </c>
      <c r="V26" s="57">
        <v>0</v>
      </c>
      <c r="W26" s="57">
        <v>0</v>
      </c>
      <c r="X26" s="57">
        <v>0</v>
      </c>
      <c r="Y26" s="57">
        <v>0</v>
      </c>
      <c r="Z26" s="57">
        <v>1</v>
      </c>
      <c r="AA26" s="57">
        <v>1</v>
      </c>
      <c r="AB26" s="57">
        <v>0</v>
      </c>
      <c r="AC26" s="57">
        <v>0</v>
      </c>
      <c r="AD26" s="57">
        <v>0</v>
      </c>
      <c r="AE26" s="132">
        <v>0</v>
      </c>
    </row>
    <row r="27" spans="1:31">
      <c r="A27" s="127" t="s">
        <v>358</v>
      </c>
      <c r="B27" s="7">
        <f t="shared" si="0"/>
        <v>25</v>
      </c>
      <c r="C27" s="89">
        <f t="shared" si="1"/>
        <v>27</v>
      </c>
      <c r="D27" s="57">
        <v>4</v>
      </c>
      <c r="E27" s="57">
        <v>3</v>
      </c>
      <c r="F27" s="57">
        <v>21</v>
      </c>
      <c r="G27" s="57">
        <v>24</v>
      </c>
      <c r="H27" s="57">
        <v>0</v>
      </c>
      <c r="I27" s="57">
        <v>0</v>
      </c>
      <c r="J27" s="57">
        <v>0</v>
      </c>
      <c r="K27" s="57">
        <v>0</v>
      </c>
      <c r="L27" s="57">
        <v>0</v>
      </c>
      <c r="M27" s="57">
        <v>0</v>
      </c>
      <c r="N27" s="57">
        <v>0</v>
      </c>
      <c r="O27" s="57">
        <v>0</v>
      </c>
      <c r="P27" s="57">
        <v>0</v>
      </c>
      <c r="Q27" s="57">
        <v>0</v>
      </c>
      <c r="R27" s="57">
        <v>0</v>
      </c>
      <c r="S27" s="57">
        <v>0</v>
      </c>
      <c r="T27" s="57">
        <v>0</v>
      </c>
      <c r="U27" s="57">
        <v>0</v>
      </c>
      <c r="V27" s="57">
        <v>0</v>
      </c>
      <c r="W27" s="57">
        <v>0</v>
      </c>
      <c r="X27" s="57">
        <v>0</v>
      </c>
      <c r="Y27" s="57">
        <v>0</v>
      </c>
      <c r="Z27" s="57">
        <v>0</v>
      </c>
      <c r="AA27" s="57">
        <v>0</v>
      </c>
      <c r="AB27" s="57">
        <v>0</v>
      </c>
      <c r="AC27" s="57">
        <v>0</v>
      </c>
      <c r="AD27" s="57">
        <v>0</v>
      </c>
      <c r="AE27" s="132">
        <v>0</v>
      </c>
    </row>
    <row r="28" spans="1:31">
      <c r="A28" s="127" t="s">
        <v>144</v>
      </c>
      <c r="B28" s="7">
        <f t="shared" si="0"/>
        <v>103</v>
      </c>
      <c r="C28" s="89">
        <f t="shared" si="1"/>
        <v>104</v>
      </c>
      <c r="D28" s="57">
        <v>8</v>
      </c>
      <c r="E28" s="57">
        <v>7</v>
      </c>
      <c r="F28" s="57">
        <v>88</v>
      </c>
      <c r="G28" s="57">
        <v>92</v>
      </c>
      <c r="H28" s="57">
        <v>0</v>
      </c>
      <c r="I28" s="57">
        <v>0</v>
      </c>
      <c r="J28" s="57">
        <v>0</v>
      </c>
      <c r="K28" s="57">
        <v>0</v>
      </c>
      <c r="L28" s="57">
        <v>2</v>
      </c>
      <c r="M28" s="57">
        <v>4</v>
      </c>
      <c r="N28" s="57">
        <v>0</v>
      </c>
      <c r="O28" s="57">
        <v>0</v>
      </c>
      <c r="P28" s="57">
        <v>2</v>
      </c>
      <c r="Q28" s="57">
        <v>0</v>
      </c>
      <c r="R28" s="57">
        <v>0</v>
      </c>
      <c r="S28" s="57">
        <v>0</v>
      </c>
      <c r="T28" s="57">
        <v>3</v>
      </c>
      <c r="U28" s="57">
        <v>1</v>
      </c>
      <c r="V28" s="57">
        <v>0</v>
      </c>
      <c r="W28" s="57">
        <v>0</v>
      </c>
      <c r="X28" s="57">
        <v>0</v>
      </c>
      <c r="Y28" s="57">
        <v>0</v>
      </c>
      <c r="Z28" s="57">
        <v>0</v>
      </c>
      <c r="AA28" s="57">
        <v>0</v>
      </c>
      <c r="AB28" s="57">
        <v>0</v>
      </c>
      <c r="AC28" s="57">
        <v>0</v>
      </c>
      <c r="AD28" s="57">
        <v>0</v>
      </c>
      <c r="AE28" s="132">
        <v>0</v>
      </c>
    </row>
    <row r="29" spans="1:31">
      <c r="A29" s="127" t="s">
        <v>110</v>
      </c>
      <c r="B29" s="7">
        <f t="shared" si="0"/>
        <v>183</v>
      </c>
      <c r="C29" s="89">
        <f t="shared" si="1"/>
        <v>184</v>
      </c>
      <c r="D29" s="57">
        <v>21</v>
      </c>
      <c r="E29" s="57">
        <v>19</v>
      </c>
      <c r="F29" s="57">
        <v>154</v>
      </c>
      <c r="G29" s="57">
        <v>158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7">
        <v>0</v>
      </c>
      <c r="P29" s="57">
        <v>3</v>
      </c>
      <c r="Q29" s="57">
        <v>2</v>
      </c>
      <c r="R29" s="57">
        <v>0</v>
      </c>
      <c r="S29" s="57">
        <v>0</v>
      </c>
      <c r="T29" s="57">
        <v>1</v>
      </c>
      <c r="U29" s="57">
        <v>1</v>
      </c>
      <c r="V29" s="57">
        <v>0</v>
      </c>
      <c r="W29" s="57">
        <v>0</v>
      </c>
      <c r="X29" s="57">
        <v>0</v>
      </c>
      <c r="Y29" s="57">
        <v>0</v>
      </c>
      <c r="Z29" s="57">
        <v>1</v>
      </c>
      <c r="AA29" s="57">
        <v>1</v>
      </c>
      <c r="AB29" s="57">
        <v>0</v>
      </c>
      <c r="AC29" s="57">
        <v>0</v>
      </c>
      <c r="AD29" s="57">
        <v>3</v>
      </c>
      <c r="AE29" s="132">
        <v>3</v>
      </c>
    </row>
    <row r="30" spans="1:31">
      <c r="A30" s="127" t="s">
        <v>192</v>
      </c>
      <c r="B30" s="7">
        <f t="shared" si="0"/>
        <v>12806</v>
      </c>
      <c r="C30" s="89">
        <f t="shared" si="1"/>
        <v>12930</v>
      </c>
      <c r="D30" s="57">
        <v>635</v>
      </c>
      <c r="E30" s="57">
        <v>736</v>
      </c>
      <c r="F30" s="57">
        <v>10694</v>
      </c>
      <c r="G30" s="57">
        <v>10615</v>
      </c>
      <c r="H30" s="57">
        <v>0</v>
      </c>
      <c r="I30" s="57">
        <v>0</v>
      </c>
      <c r="J30" s="57">
        <v>2</v>
      </c>
      <c r="K30" s="57">
        <v>2</v>
      </c>
      <c r="L30" s="57">
        <v>152</v>
      </c>
      <c r="M30" s="57">
        <v>163</v>
      </c>
      <c r="N30" s="57">
        <v>3</v>
      </c>
      <c r="O30" s="57">
        <v>10</v>
      </c>
      <c r="P30" s="57">
        <v>826</v>
      </c>
      <c r="Q30" s="57">
        <v>794</v>
      </c>
      <c r="R30" s="57">
        <v>72</v>
      </c>
      <c r="S30" s="57">
        <v>56</v>
      </c>
      <c r="T30" s="57">
        <v>409</v>
      </c>
      <c r="U30" s="57">
        <v>544</v>
      </c>
      <c r="V30" s="57">
        <v>0</v>
      </c>
      <c r="W30" s="57">
        <v>0</v>
      </c>
      <c r="X30" s="57">
        <v>1</v>
      </c>
      <c r="Y30" s="57">
        <v>1</v>
      </c>
      <c r="Z30" s="57">
        <v>3</v>
      </c>
      <c r="AA30" s="57">
        <v>2</v>
      </c>
      <c r="AB30" s="57">
        <v>0</v>
      </c>
      <c r="AC30" s="57">
        <v>2</v>
      </c>
      <c r="AD30" s="57">
        <v>9</v>
      </c>
      <c r="AE30" s="132">
        <v>5</v>
      </c>
    </row>
    <row r="31" spans="1:31">
      <c r="A31" s="127" t="s">
        <v>111</v>
      </c>
      <c r="B31" s="7">
        <f t="shared" si="0"/>
        <v>648</v>
      </c>
      <c r="C31" s="89">
        <f t="shared" si="1"/>
        <v>652</v>
      </c>
      <c r="D31" s="57">
        <v>21</v>
      </c>
      <c r="E31" s="57">
        <v>19</v>
      </c>
      <c r="F31" s="57">
        <v>550</v>
      </c>
      <c r="G31" s="57">
        <v>546</v>
      </c>
      <c r="H31" s="57">
        <v>0</v>
      </c>
      <c r="I31" s="57">
        <v>0</v>
      </c>
      <c r="J31" s="57">
        <v>0</v>
      </c>
      <c r="K31" s="57">
        <v>0</v>
      </c>
      <c r="L31" s="57">
        <v>21</v>
      </c>
      <c r="M31" s="57">
        <v>24</v>
      </c>
      <c r="N31" s="57">
        <v>0</v>
      </c>
      <c r="O31" s="57">
        <v>0</v>
      </c>
      <c r="P31" s="57">
        <v>53</v>
      </c>
      <c r="Q31" s="57">
        <v>60</v>
      </c>
      <c r="R31" s="57">
        <v>1</v>
      </c>
      <c r="S31" s="57">
        <v>1</v>
      </c>
      <c r="T31" s="57">
        <v>2</v>
      </c>
      <c r="U31" s="57">
        <v>2</v>
      </c>
      <c r="V31" s="57">
        <v>0</v>
      </c>
      <c r="W31" s="57">
        <v>0</v>
      </c>
      <c r="X31" s="57">
        <v>0</v>
      </c>
      <c r="Y31" s="57">
        <v>0</v>
      </c>
      <c r="Z31" s="57">
        <v>0</v>
      </c>
      <c r="AA31" s="57">
        <v>0</v>
      </c>
      <c r="AB31" s="57">
        <v>0</v>
      </c>
      <c r="AC31" s="57">
        <v>0</v>
      </c>
      <c r="AD31" s="57">
        <v>0</v>
      </c>
      <c r="AE31" s="132">
        <v>0</v>
      </c>
    </row>
    <row r="32" spans="1:31">
      <c r="A32" s="127" t="s">
        <v>359</v>
      </c>
      <c r="B32" s="7">
        <f t="shared" si="0"/>
        <v>12</v>
      </c>
      <c r="C32" s="89">
        <f t="shared" si="1"/>
        <v>12</v>
      </c>
      <c r="D32" s="57">
        <v>0</v>
      </c>
      <c r="E32" s="57">
        <v>0</v>
      </c>
      <c r="F32" s="57">
        <v>12</v>
      </c>
      <c r="G32" s="57">
        <v>12</v>
      </c>
      <c r="H32" s="57">
        <v>0</v>
      </c>
      <c r="I32" s="57">
        <v>0</v>
      </c>
      <c r="J32" s="57">
        <v>0</v>
      </c>
      <c r="K32" s="57">
        <v>0</v>
      </c>
      <c r="L32" s="57">
        <v>0</v>
      </c>
      <c r="M32" s="57">
        <v>0</v>
      </c>
      <c r="N32" s="57">
        <v>0</v>
      </c>
      <c r="O32" s="57">
        <v>0</v>
      </c>
      <c r="P32" s="57">
        <v>0</v>
      </c>
      <c r="Q32" s="57">
        <v>0</v>
      </c>
      <c r="R32" s="57">
        <v>0</v>
      </c>
      <c r="S32" s="57">
        <v>0</v>
      </c>
      <c r="T32" s="57">
        <v>0</v>
      </c>
      <c r="U32" s="57">
        <v>0</v>
      </c>
      <c r="V32" s="57">
        <v>0</v>
      </c>
      <c r="W32" s="57">
        <v>0</v>
      </c>
      <c r="X32" s="57">
        <v>0</v>
      </c>
      <c r="Y32" s="57">
        <v>0</v>
      </c>
      <c r="Z32" s="57">
        <v>0</v>
      </c>
      <c r="AA32" s="57">
        <v>0</v>
      </c>
      <c r="AB32" s="57">
        <v>0</v>
      </c>
      <c r="AC32" s="57">
        <v>0</v>
      </c>
      <c r="AD32" s="57">
        <v>0</v>
      </c>
      <c r="AE32" s="132">
        <v>0</v>
      </c>
    </row>
    <row r="33" spans="1:31">
      <c r="A33" s="127" t="s">
        <v>360</v>
      </c>
      <c r="B33" s="7">
        <f t="shared" si="0"/>
        <v>105</v>
      </c>
      <c r="C33" s="89">
        <f t="shared" si="1"/>
        <v>104</v>
      </c>
      <c r="D33" s="57">
        <v>29</v>
      </c>
      <c r="E33" s="57">
        <v>33</v>
      </c>
      <c r="F33" s="57">
        <v>75</v>
      </c>
      <c r="G33" s="57">
        <v>70</v>
      </c>
      <c r="H33" s="57">
        <v>0</v>
      </c>
      <c r="I33" s="57">
        <v>0</v>
      </c>
      <c r="J33" s="57">
        <v>0</v>
      </c>
      <c r="K33" s="57">
        <v>0</v>
      </c>
      <c r="L33" s="57">
        <v>0</v>
      </c>
      <c r="M33" s="57">
        <v>0</v>
      </c>
      <c r="N33" s="57">
        <v>0</v>
      </c>
      <c r="O33" s="57">
        <v>0</v>
      </c>
      <c r="P33" s="57">
        <v>0</v>
      </c>
      <c r="Q33" s="57">
        <v>1</v>
      </c>
      <c r="R33" s="57">
        <v>0</v>
      </c>
      <c r="S33" s="57">
        <v>0</v>
      </c>
      <c r="T33" s="57">
        <v>0</v>
      </c>
      <c r="U33" s="57">
        <v>0</v>
      </c>
      <c r="V33" s="57">
        <v>0</v>
      </c>
      <c r="W33" s="57">
        <v>0</v>
      </c>
      <c r="X33" s="57">
        <v>0</v>
      </c>
      <c r="Y33" s="57">
        <v>0</v>
      </c>
      <c r="Z33" s="57">
        <v>1</v>
      </c>
      <c r="AA33" s="57">
        <v>0</v>
      </c>
      <c r="AB33" s="57">
        <v>0</v>
      </c>
      <c r="AC33" s="57">
        <v>0</v>
      </c>
      <c r="AD33" s="57">
        <v>0</v>
      </c>
      <c r="AE33" s="132">
        <v>0</v>
      </c>
    </row>
    <row r="34" spans="1:31">
      <c r="A34" s="127" t="s">
        <v>361</v>
      </c>
      <c r="B34" s="7">
        <f t="shared" si="0"/>
        <v>5</v>
      </c>
      <c r="C34" s="89">
        <f t="shared" si="1"/>
        <v>4</v>
      </c>
      <c r="D34" s="57">
        <v>1</v>
      </c>
      <c r="E34" s="57">
        <v>2</v>
      </c>
      <c r="F34" s="57">
        <v>4</v>
      </c>
      <c r="G34" s="57">
        <v>2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7">
        <v>0</v>
      </c>
      <c r="P34" s="57">
        <v>0</v>
      </c>
      <c r="Q34" s="57">
        <v>0</v>
      </c>
      <c r="R34" s="57">
        <v>0</v>
      </c>
      <c r="S34" s="57">
        <v>0</v>
      </c>
      <c r="T34" s="57">
        <v>0</v>
      </c>
      <c r="U34" s="57">
        <v>0</v>
      </c>
      <c r="V34" s="57">
        <v>0</v>
      </c>
      <c r="W34" s="57">
        <v>0</v>
      </c>
      <c r="X34" s="57">
        <v>0</v>
      </c>
      <c r="Y34" s="57">
        <v>0</v>
      </c>
      <c r="Z34" s="57">
        <v>0</v>
      </c>
      <c r="AA34" s="57">
        <v>0</v>
      </c>
      <c r="AB34" s="57">
        <v>0</v>
      </c>
      <c r="AC34" s="57">
        <v>0</v>
      </c>
      <c r="AD34" s="57">
        <v>0</v>
      </c>
      <c r="AE34" s="132">
        <v>0</v>
      </c>
    </row>
    <row r="35" spans="1:31">
      <c r="A35" s="127" t="s">
        <v>193</v>
      </c>
      <c r="B35" s="7">
        <f t="shared" si="0"/>
        <v>149</v>
      </c>
      <c r="C35" s="89">
        <f t="shared" si="1"/>
        <v>151</v>
      </c>
      <c r="D35" s="57">
        <v>25</v>
      </c>
      <c r="E35" s="57">
        <v>28</v>
      </c>
      <c r="F35" s="57">
        <v>113</v>
      </c>
      <c r="G35" s="57">
        <v>112</v>
      </c>
      <c r="H35" s="57">
        <v>0</v>
      </c>
      <c r="I35" s="57">
        <v>0</v>
      </c>
      <c r="J35" s="57">
        <v>0</v>
      </c>
      <c r="K35" s="57">
        <v>0</v>
      </c>
      <c r="L35" s="57">
        <v>4</v>
      </c>
      <c r="M35" s="57">
        <v>1</v>
      </c>
      <c r="N35" s="57">
        <v>0</v>
      </c>
      <c r="O35" s="57">
        <v>0</v>
      </c>
      <c r="P35" s="57">
        <v>7</v>
      </c>
      <c r="Q35" s="57">
        <v>4</v>
      </c>
      <c r="R35" s="57">
        <v>0</v>
      </c>
      <c r="S35" s="57">
        <v>0</v>
      </c>
      <c r="T35" s="57">
        <v>0</v>
      </c>
      <c r="U35" s="57">
        <v>4</v>
      </c>
      <c r="V35" s="57">
        <v>0</v>
      </c>
      <c r="W35" s="57">
        <v>0</v>
      </c>
      <c r="X35" s="57">
        <v>0</v>
      </c>
      <c r="Y35" s="57">
        <v>0</v>
      </c>
      <c r="Z35" s="57">
        <v>0</v>
      </c>
      <c r="AA35" s="57">
        <v>0</v>
      </c>
      <c r="AB35" s="57">
        <v>0</v>
      </c>
      <c r="AC35" s="57">
        <v>0</v>
      </c>
      <c r="AD35" s="57">
        <v>0</v>
      </c>
      <c r="AE35" s="132">
        <v>2</v>
      </c>
    </row>
    <row r="36" spans="1:31">
      <c r="A36" s="127" t="s">
        <v>113</v>
      </c>
      <c r="B36" s="7">
        <f t="shared" si="0"/>
        <v>1629</v>
      </c>
      <c r="C36" s="89">
        <f t="shared" si="1"/>
        <v>1657</v>
      </c>
      <c r="D36" s="57">
        <v>25</v>
      </c>
      <c r="E36" s="57">
        <v>26</v>
      </c>
      <c r="F36" s="57">
        <v>1484</v>
      </c>
      <c r="G36" s="57">
        <v>1512</v>
      </c>
      <c r="H36" s="57">
        <v>0</v>
      </c>
      <c r="I36" s="57">
        <v>0</v>
      </c>
      <c r="J36" s="57">
        <v>0</v>
      </c>
      <c r="K36" s="57">
        <v>0</v>
      </c>
      <c r="L36" s="57">
        <v>28</v>
      </c>
      <c r="M36" s="57">
        <v>20</v>
      </c>
      <c r="N36" s="57">
        <v>0</v>
      </c>
      <c r="O36" s="57">
        <v>0</v>
      </c>
      <c r="P36" s="57">
        <v>76</v>
      </c>
      <c r="Q36" s="57">
        <v>83</v>
      </c>
      <c r="R36" s="57">
        <v>1</v>
      </c>
      <c r="S36" s="57">
        <v>3</v>
      </c>
      <c r="T36" s="57">
        <v>15</v>
      </c>
      <c r="U36" s="57">
        <v>13</v>
      </c>
      <c r="V36" s="57">
        <v>0</v>
      </c>
      <c r="W36" s="57">
        <v>0</v>
      </c>
      <c r="X36" s="57">
        <v>0</v>
      </c>
      <c r="Y36" s="57">
        <v>0</v>
      </c>
      <c r="Z36" s="57">
        <v>0</v>
      </c>
      <c r="AA36" s="57">
        <v>0</v>
      </c>
      <c r="AB36" s="57">
        <v>0</v>
      </c>
      <c r="AC36" s="57">
        <v>0</v>
      </c>
      <c r="AD36" s="57">
        <v>0</v>
      </c>
      <c r="AE36" s="132">
        <v>0</v>
      </c>
    </row>
    <row r="37" spans="1:31">
      <c r="A37" s="127" t="s">
        <v>194</v>
      </c>
      <c r="B37" s="7">
        <f t="shared" si="0"/>
        <v>56</v>
      </c>
      <c r="C37" s="89">
        <f t="shared" si="1"/>
        <v>55</v>
      </c>
      <c r="D37" s="57">
        <v>17</v>
      </c>
      <c r="E37" s="57">
        <v>17</v>
      </c>
      <c r="F37" s="57">
        <v>37</v>
      </c>
      <c r="G37" s="57">
        <v>37</v>
      </c>
      <c r="H37" s="57">
        <v>0</v>
      </c>
      <c r="I37" s="57">
        <v>0</v>
      </c>
      <c r="J37" s="57">
        <v>0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57">
        <v>0</v>
      </c>
      <c r="Q37" s="57">
        <v>0</v>
      </c>
      <c r="R37" s="57">
        <v>0</v>
      </c>
      <c r="S37" s="57">
        <v>0</v>
      </c>
      <c r="T37" s="57">
        <v>1</v>
      </c>
      <c r="U37" s="57">
        <v>1</v>
      </c>
      <c r="V37" s="57">
        <v>1</v>
      </c>
      <c r="W37" s="57">
        <v>0</v>
      </c>
      <c r="X37" s="57">
        <v>0</v>
      </c>
      <c r="Y37" s="57">
        <v>0</v>
      </c>
      <c r="Z37" s="57">
        <v>0</v>
      </c>
      <c r="AA37" s="57">
        <v>0</v>
      </c>
      <c r="AB37" s="57">
        <v>0</v>
      </c>
      <c r="AC37" s="57">
        <v>0</v>
      </c>
      <c r="AD37" s="57">
        <v>0</v>
      </c>
      <c r="AE37" s="132">
        <v>0</v>
      </c>
    </row>
    <row r="38" spans="1:31">
      <c r="A38" s="127" t="s">
        <v>55</v>
      </c>
      <c r="B38" s="7">
        <f t="shared" si="0"/>
        <v>15</v>
      </c>
      <c r="C38" s="89">
        <f t="shared" si="1"/>
        <v>15</v>
      </c>
      <c r="D38" s="57">
        <v>1</v>
      </c>
      <c r="E38" s="57">
        <v>2</v>
      </c>
      <c r="F38" s="57">
        <v>12</v>
      </c>
      <c r="G38" s="57">
        <v>12</v>
      </c>
      <c r="H38" s="57">
        <v>0</v>
      </c>
      <c r="I38" s="57">
        <v>0</v>
      </c>
      <c r="J38" s="57">
        <v>0</v>
      </c>
      <c r="K38" s="57">
        <v>0</v>
      </c>
      <c r="L38" s="57">
        <v>0</v>
      </c>
      <c r="M38" s="57">
        <v>0</v>
      </c>
      <c r="N38" s="57">
        <v>0</v>
      </c>
      <c r="O38" s="57">
        <v>0</v>
      </c>
      <c r="P38" s="57">
        <v>1</v>
      </c>
      <c r="Q38" s="57">
        <v>1</v>
      </c>
      <c r="R38" s="57">
        <v>0</v>
      </c>
      <c r="S38" s="57">
        <v>0</v>
      </c>
      <c r="T38" s="57">
        <v>1</v>
      </c>
      <c r="U38" s="57">
        <v>0</v>
      </c>
      <c r="V38" s="57">
        <v>0</v>
      </c>
      <c r="W38" s="57">
        <v>0</v>
      </c>
      <c r="X38" s="57">
        <v>0</v>
      </c>
      <c r="Y38" s="57">
        <v>0</v>
      </c>
      <c r="Z38" s="57">
        <v>0</v>
      </c>
      <c r="AA38" s="57">
        <v>0</v>
      </c>
      <c r="AB38" s="57">
        <v>0</v>
      </c>
      <c r="AC38" s="57">
        <v>0</v>
      </c>
      <c r="AD38" s="57">
        <v>0</v>
      </c>
      <c r="AE38" s="132">
        <v>0</v>
      </c>
    </row>
    <row r="39" spans="1:31">
      <c r="A39" s="127" t="s">
        <v>114</v>
      </c>
      <c r="B39" s="7">
        <f t="shared" si="0"/>
        <v>18629</v>
      </c>
      <c r="C39" s="89">
        <f t="shared" si="1"/>
        <v>18385</v>
      </c>
      <c r="D39" s="57">
        <v>718</v>
      </c>
      <c r="E39" s="57">
        <v>733</v>
      </c>
      <c r="F39" s="57">
        <v>16621</v>
      </c>
      <c r="G39" s="57">
        <v>16012</v>
      </c>
      <c r="H39" s="57">
        <v>2</v>
      </c>
      <c r="I39" s="57">
        <v>4</v>
      </c>
      <c r="J39" s="57">
        <v>68</v>
      </c>
      <c r="K39" s="57">
        <v>96</v>
      </c>
      <c r="L39" s="57">
        <v>249</v>
      </c>
      <c r="M39" s="57">
        <v>170</v>
      </c>
      <c r="N39" s="57">
        <v>7</v>
      </c>
      <c r="O39" s="57">
        <v>7</v>
      </c>
      <c r="P39" s="57">
        <v>652</v>
      </c>
      <c r="Q39" s="57">
        <v>1085</v>
      </c>
      <c r="R39" s="57">
        <v>15</v>
      </c>
      <c r="S39" s="57">
        <v>42</v>
      </c>
      <c r="T39" s="57">
        <v>272</v>
      </c>
      <c r="U39" s="57">
        <v>212</v>
      </c>
      <c r="V39" s="57">
        <v>3</v>
      </c>
      <c r="W39" s="57">
        <v>2</v>
      </c>
      <c r="X39" s="57">
        <v>8</v>
      </c>
      <c r="Y39" s="57">
        <v>0</v>
      </c>
      <c r="Z39" s="57">
        <v>6</v>
      </c>
      <c r="AA39" s="57">
        <v>10</v>
      </c>
      <c r="AB39" s="57">
        <v>0</v>
      </c>
      <c r="AC39" s="57">
        <v>1</v>
      </c>
      <c r="AD39" s="57">
        <v>8</v>
      </c>
      <c r="AE39" s="132">
        <v>11</v>
      </c>
    </row>
    <row r="40" spans="1:31">
      <c r="A40" s="127" t="s">
        <v>394</v>
      </c>
      <c r="B40" s="7">
        <f t="shared" si="0"/>
        <v>3</v>
      </c>
      <c r="C40" s="89">
        <f t="shared" si="1"/>
        <v>3</v>
      </c>
      <c r="D40" s="57">
        <v>0</v>
      </c>
      <c r="E40" s="57">
        <v>0</v>
      </c>
      <c r="F40" s="57">
        <v>3</v>
      </c>
      <c r="G40" s="57">
        <v>3</v>
      </c>
      <c r="H40" s="57">
        <v>0</v>
      </c>
      <c r="I40" s="57">
        <v>0</v>
      </c>
      <c r="J40" s="57">
        <v>0</v>
      </c>
      <c r="K40" s="57">
        <v>0</v>
      </c>
      <c r="L40" s="57">
        <v>0</v>
      </c>
      <c r="M40" s="57">
        <v>0</v>
      </c>
      <c r="N40" s="57">
        <v>0</v>
      </c>
      <c r="O40" s="57">
        <v>0</v>
      </c>
      <c r="P40" s="57">
        <v>0</v>
      </c>
      <c r="Q40" s="57">
        <v>0</v>
      </c>
      <c r="R40" s="57">
        <v>0</v>
      </c>
      <c r="S40" s="57">
        <v>0</v>
      </c>
      <c r="T40" s="57">
        <v>0</v>
      </c>
      <c r="U40" s="57">
        <v>0</v>
      </c>
      <c r="V40" s="57">
        <v>0</v>
      </c>
      <c r="W40" s="57">
        <v>0</v>
      </c>
      <c r="X40" s="57">
        <v>0</v>
      </c>
      <c r="Y40" s="57">
        <v>0</v>
      </c>
      <c r="Z40" s="57">
        <v>0</v>
      </c>
      <c r="AA40" s="57">
        <v>0</v>
      </c>
      <c r="AB40" s="57">
        <v>0</v>
      </c>
      <c r="AC40" s="57">
        <v>0</v>
      </c>
      <c r="AD40" s="57">
        <v>0</v>
      </c>
      <c r="AE40" s="132">
        <v>0</v>
      </c>
    </row>
    <row r="41" spans="1:31">
      <c r="A41" s="127" t="s">
        <v>362</v>
      </c>
      <c r="B41" s="7">
        <f t="shared" si="0"/>
        <v>7</v>
      </c>
      <c r="C41" s="89">
        <f t="shared" si="1"/>
        <v>7</v>
      </c>
      <c r="D41" s="57">
        <v>0</v>
      </c>
      <c r="E41" s="57">
        <v>0</v>
      </c>
      <c r="F41" s="57">
        <v>7</v>
      </c>
      <c r="G41" s="57">
        <v>7</v>
      </c>
      <c r="H41" s="57">
        <v>0</v>
      </c>
      <c r="I41" s="57">
        <v>0</v>
      </c>
      <c r="J41" s="57">
        <v>0</v>
      </c>
      <c r="K41" s="57">
        <v>0</v>
      </c>
      <c r="L41" s="57">
        <v>0</v>
      </c>
      <c r="M41" s="57">
        <v>0</v>
      </c>
      <c r="N41" s="57">
        <v>0</v>
      </c>
      <c r="O41" s="57">
        <v>0</v>
      </c>
      <c r="P41" s="57">
        <v>0</v>
      </c>
      <c r="Q41" s="57">
        <v>0</v>
      </c>
      <c r="R41" s="57">
        <v>0</v>
      </c>
      <c r="S41" s="57">
        <v>0</v>
      </c>
      <c r="T41" s="57">
        <v>0</v>
      </c>
      <c r="U41" s="57">
        <v>0</v>
      </c>
      <c r="V41" s="57">
        <v>0</v>
      </c>
      <c r="W41" s="57">
        <v>0</v>
      </c>
      <c r="X41" s="57">
        <v>0</v>
      </c>
      <c r="Y41" s="57">
        <v>0</v>
      </c>
      <c r="Z41" s="57">
        <v>0</v>
      </c>
      <c r="AA41" s="57">
        <v>0</v>
      </c>
      <c r="AB41" s="57">
        <v>0</v>
      </c>
      <c r="AC41" s="57">
        <v>0</v>
      </c>
      <c r="AD41" s="57">
        <v>0</v>
      </c>
      <c r="AE41" s="132">
        <v>0</v>
      </c>
    </row>
    <row r="42" spans="1:31">
      <c r="A42" s="127" t="s">
        <v>195</v>
      </c>
      <c r="B42" s="7">
        <f t="shared" si="0"/>
        <v>1101</v>
      </c>
      <c r="C42" s="89">
        <f t="shared" si="1"/>
        <v>1088</v>
      </c>
      <c r="D42" s="57">
        <v>150</v>
      </c>
      <c r="E42" s="57">
        <v>144</v>
      </c>
      <c r="F42" s="57">
        <v>780</v>
      </c>
      <c r="G42" s="57">
        <v>799</v>
      </c>
      <c r="H42" s="57">
        <v>0</v>
      </c>
      <c r="I42" s="57">
        <v>0</v>
      </c>
      <c r="J42" s="57">
        <v>0</v>
      </c>
      <c r="K42" s="57">
        <v>0</v>
      </c>
      <c r="L42" s="57">
        <v>7</v>
      </c>
      <c r="M42" s="57">
        <v>11</v>
      </c>
      <c r="N42" s="57">
        <v>0</v>
      </c>
      <c r="O42" s="57">
        <v>0</v>
      </c>
      <c r="P42" s="57">
        <v>55</v>
      </c>
      <c r="Q42" s="57">
        <v>104</v>
      </c>
      <c r="R42" s="57">
        <v>0</v>
      </c>
      <c r="S42" s="57">
        <v>0</v>
      </c>
      <c r="T42" s="57">
        <v>99</v>
      </c>
      <c r="U42" s="57">
        <v>14</v>
      </c>
      <c r="V42" s="57">
        <v>2</v>
      </c>
      <c r="W42" s="57">
        <v>1</v>
      </c>
      <c r="X42" s="57">
        <v>5</v>
      </c>
      <c r="Y42" s="57">
        <v>5</v>
      </c>
      <c r="Z42" s="57">
        <v>2</v>
      </c>
      <c r="AA42" s="57">
        <v>2</v>
      </c>
      <c r="AB42" s="57">
        <v>0</v>
      </c>
      <c r="AC42" s="57">
        <v>0</v>
      </c>
      <c r="AD42" s="57">
        <v>1</v>
      </c>
      <c r="AE42" s="132">
        <v>8</v>
      </c>
    </row>
    <row r="43" spans="1:31">
      <c r="A43" s="127" t="s">
        <v>57</v>
      </c>
      <c r="B43" s="7">
        <f t="shared" si="0"/>
        <v>5</v>
      </c>
      <c r="C43" s="89">
        <f t="shared" si="1"/>
        <v>4</v>
      </c>
      <c r="D43" s="57">
        <v>0</v>
      </c>
      <c r="E43" s="57">
        <v>0</v>
      </c>
      <c r="F43" s="57">
        <v>5</v>
      </c>
      <c r="G43" s="57">
        <v>4</v>
      </c>
      <c r="H43" s="57">
        <v>0</v>
      </c>
      <c r="I43" s="57">
        <v>0</v>
      </c>
      <c r="J43" s="57">
        <v>0</v>
      </c>
      <c r="K43" s="57">
        <v>0</v>
      </c>
      <c r="L43" s="57">
        <v>0</v>
      </c>
      <c r="M43" s="57">
        <v>0</v>
      </c>
      <c r="N43" s="57">
        <v>0</v>
      </c>
      <c r="O43" s="57">
        <v>0</v>
      </c>
      <c r="P43" s="57">
        <v>0</v>
      </c>
      <c r="Q43" s="57">
        <v>0</v>
      </c>
      <c r="R43" s="57">
        <v>0</v>
      </c>
      <c r="S43" s="57">
        <v>0</v>
      </c>
      <c r="T43" s="57">
        <v>0</v>
      </c>
      <c r="U43" s="57">
        <v>0</v>
      </c>
      <c r="V43" s="57">
        <v>0</v>
      </c>
      <c r="W43" s="57">
        <v>0</v>
      </c>
      <c r="X43" s="57">
        <v>0</v>
      </c>
      <c r="Y43" s="57">
        <v>0</v>
      </c>
      <c r="Z43" s="57">
        <v>0</v>
      </c>
      <c r="AA43" s="57">
        <v>0</v>
      </c>
      <c r="AB43" s="57">
        <v>0</v>
      </c>
      <c r="AC43" s="57">
        <v>0</v>
      </c>
      <c r="AD43" s="57">
        <v>0</v>
      </c>
      <c r="AE43" s="132">
        <v>0</v>
      </c>
    </row>
    <row r="44" spans="1:31">
      <c r="A44" s="127" t="s">
        <v>59</v>
      </c>
      <c r="B44" s="7">
        <f t="shared" si="0"/>
        <v>7</v>
      </c>
      <c r="C44" s="89">
        <f t="shared" si="1"/>
        <v>7</v>
      </c>
      <c r="D44" s="57">
        <v>6</v>
      </c>
      <c r="E44" s="57">
        <v>6</v>
      </c>
      <c r="F44" s="57">
        <v>1</v>
      </c>
      <c r="G44" s="57">
        <v>1</v>
      </c>
      <c r="H44" s="57">
        <v>0</v>
      </c>
      <c r="I44" s="57">
        <v>0</v>
      </c>
      <c r="J44" s="57">
        <v>0</v>
      </c>
      <c r="K44" s="57">
        <v>0</v>
      </c>
      <c r="L44" s="57">
        <v>0</v>
      </c>
      <c r="M44" s="57">
        <v>0</v>
      </c>
      <c r="N44" s="57">
        <v>0</v>
      </c>
      <c r="O44" s="57">
        <v>0</v>
      </c>
      <c r="P44" s="57">
        <v>0</v>
      </c>
      <c r="Q44" s="57">
        <v>0</v>
      </c>
      <c r="R44" s="57">
        <v>0</v>
      </c>
      <c r="S44" s="57">
        <v>0</v>
      </c>
      <c r="T44" s="57">
        <v>0</v>
      </c>
      <c r="U44" s="57">
        <v>0</v>
      </c>
      <c r="V44" s="57">
        <v>0</v>
      </c>
      <c r="W44" s="57">
        <v>0</v>
      </c>
      <c r="X44" s="57">
        <v>0</v>
      </c>
      <c r="Y44" s="57">
        <v>0</v>
      </c>
      <c r="Z44" s="57">
        <v>0</v>
      </c>
      <c r="AA44" s="57">
        <v>0</v>
      </c>
      <c r="AB44" s="57">
        <v>0</v>
      </c>
      <c r="AC44" s="57">
        <v>0</v>
      </c>
      <c r="AD44" s="57">
        <v>0</v>
      </c>
      <c r="AE44" s="132">
        <v>0</v>
      </c>
    </row>
    <row r="45" spans="1:31">
      <c r="A45" s="127" t="s">
        <v>145</v>
      </c>
      <c r="B45" s="7">
        <f t="shared" si="0"/>
        <v>7</v>
      </c>
      <c r="C45" s="89">
        <f t="shared" si="1"/>
        <v>6</v>
      </c>
      <c r="D45" s="57">
        <v>1</v>
      </c>
      <c r="E45" s="57">
        <v>1</v>
      </c>
      <c r="F45" s="57">
        <v>6</v>
      </c>
      <c r="G45" s="57">
        <v>5</v>
      </c>
      <c r="H45" s="57">
        <v>0</v>
      </c>
      <c r="I45" s="57">
        <v>0</v>
      </c>
      <c r="J45" s="57">
        <v>0</v>
      </c>
      <c r="K45" s="57">
        <v>0</v>
      </c>
      <c r="L45" s="57">
        <v>0</v>
      </c>
      <c r="M45" s="57">
        <v>0</v>
      </c>
      <c r="N45" s="57">
        <v>0</v>
      </c>
      <c r="O45" s="57">
        <v>0</v>
      </c>
      <c r="P45" s="57">
        <v>0</v>
      </c>
      <c r="Q45" s="57">
        <v>0</v>
      </c>
      <c r="R45" s="57">
        <v>0</v>
      </c>
      <c r="S45" s="57">
        <v>0</v>
      </c>
      <c r="T45" s="57">
        <v>0</v>
      </c>
      <c r="U45" s="57">
        <v>0</v>
      </c>
      <c r="V45" s="57">
        <v>0</v>
      </c>
      <c r="W45" s="57">
        <v>0</v>
      </c>
      <c r="X45" s="57">
        <v>0</v>
      </c>
      <c r="Y45" s="57">
        <v>0</v>
      </c>
      <c r="Z45" s="57">
        <v>0</v>
      </c>
      <c r="AA45" s="57">
        <v>0</v>
      </c>
      <c r="AB45" s="57">
        <v>0</v>
      </c>
      <c r="AC45" s="57">
        <v>0</v>
      </c>
      <c r="AD45" s="57">
        <v>0</v>
      </c>
      <c r="AE45" s="132">
        <v>0</v>
      </c>
    </row>
    <row r="46" spans="1:31">
      <c r="A46" s="127" t="s">
        <v>60</v>
      </c>
      <c r="B46" s="7">
        <f t="shared" si="0"/>
        <v>121</v>
      </c>
      <c r="C46" s="89">
        <f t="shared" si="1"/>
        <v>58</v>
      </c>
      <c r="D46" s="57">
        <v>9</v>
      </c>
      <c r="E46" s="57">
        <v>8</v>
      </c>
      <c r="F46" s="57">
        <v>112</v>
      </c>
      <c r="G46" s="57">
        <v>26</v>
      </c>
      <c r="H46" s="57">
        <v>0</v>
      </c>
      <c r="I46" s="57">
        <v>0</v>
      </c>
      <c r="J46" s="57">
        <v>0</v>
      </c>
      <c r="K46" s="57">
        <v>0</v>
      </c>
      <c r="L46" s="57">
        <v>0</v>
      </c>
      <c r="M46" s="57">
        <v>0</v>
      </c>
      <c r="N46" s="57">
        <v>0</v>
      </c>
      <c r="O46" s="57">
        <v>0</v>
      </c>
      <c r="P46" s="57">
        <v>0</v>
      </c>
      <c r="Q46" s="57">
        <v>23</v>
      </c>
      <c r="R46" s="57">
        <v>0</v>
      </c>
      <c r="S46" s="57">
        <v>0</v>
      </c>
      <c r="T46" s="57">
        <v>0</v>
      </c>
      <c r="U46" s="57">
        <v>0</v>
      </c>
      <c r="V46" s="57">
        <v>0</v>
      </c>
      <c r="W46" s="57">
        <v>0</v>
      </c>
      <c r="X46" s="57">
        <v>0</v>
      </c>
      <c r="Y46" s="57">
        <v>1</v>
      </c>
      <c r="Z46" s="57">
        <v>0</v>
      </c>
      <c r="AA46" s="57">
        <v>0</v>
      </c>
      <c r="AB46" s="57">
        <v>0</v>
      </c>
      <c r="AC46" s="57">
        <v>0</v>
      </c>
      <c r="AD46" s="57">
        <v>0</v>
      </c>
      <c r="AE46" s="132">
        <v>0</v>
      </c>
    </row>
    <row r="47" spans="1:31">
      <c r="A47" s="127" t="s">
        <v>115</v>
      </c>
      <c r="B47" s="7">
        <f t="shared" si="0"/>
        <v>199739</v>
      </c>
      <c r="C47" s="89">
        <f t="shared" si="1"/>
        <v>196310</v>
      </c>
      <c r="D47" s="57">
        <v>98862</v>
      </c>
      <c r="E47" s="57">
        <v>96503</v>
      </c>
      <c r="F47" s="57">
        <v>85927</v>
      </c>
      <c r="G47" s="57">
        <v>84573</v>
      </c>
      <c r="H47" s="57">
        <v>0</v>
      </c>
      <c r="I47" s="57">
        <v>0</v>
      </c>
      <c r="J47" s="57">
        <v>45</v>
      </c>
      <c r="K47" s="57">
        <v>27</v>
      </c>
      <c r="L47" s="57">
        <v>1557</v>
      </c>
      <c r="M47" s="57">
        <v>1626</v>
      </c>
      <c r="N47" s="57">
        <v>80</v>
      </c>
      <c r="O47" s="57">
        <v>91</v>
      </c>
      <c r="P47" s="57">
        <v>11367</v>
      </c>
      <c r="Q47" s="57">
        <v>11476</v>
      </c>
      <c r="R47" s="57">
        <v>378</v>
      </c>
      <c r="S47" s="57">
        <v>379</v>
      </c>
      <c r="T47" s="57">
        <v>1310</v>
      </c>
      <c r="U47" s="57">
        <v>1494</v>
      </c>
      <c r="V47" s="57">
        <v>8</v>
      </c>
      <c r="W47" s="57">
        <v>8</v>
      </c>
      <c r="X47" s="57">
        <v>29</v>
      </c>
      <c r="Y47" s="57">
        <v>6</v>
      </c>
      <c r="Z47" s="57">
        <v>79</v>
      </c>
      <c r="AA47" s="57">
        <v>36</v>
      </c>
      <c r="AB47" s="57">
        <v>8</v>
      </c>
      <c r="AC47" s="57">
        <v>18</v>
      </c>
      <c r="AD47" s="57">
        <v>89</v>
      </c>
      <c r="AE47" s="132">
        <v>73</v>
      </c>
    </row>
    <row r="48" spans="1:31">
      <c r="A48" s="127" t="s">
        <v>146</v>
      </c>
      <c r="B48" s="7">
        <f t="shared" si="0"/>
        <v>1</v>
      </c>
      <c r="C48" s="89">
        <f t="shared" si="1"/>
        <v>1</v>
      </c>
      <c r="D48" s="57">
        <v>0</v>
      </c>
      <c r="E48" s="57">
        <v>0</v>
      </c>
      <c r="F48" s="57">
        <v>1</v>
      </c>
      <c r="G48" s="57">
        <v>1</v>
      </c>
      <c r="H48" s="57">
        <v>0</v>
      </c>
      <c r="I48" s="57">
        <v>0</v>
      </c>
      <c r="J48" s="57">
        <v>0</v>
      </c>
      <c r="K48" s="57">
        <v>0</v>
      </c>
      <c r="L48" s="57">
        <v>0</v>
      </c>
      <c r="M48" s="57">
        <v>0</v>
      </c>
      <c r="N48" s="57">
        <v>0</v>
      </c>
      <c r="O48" s="57">
        <v>0</v>
      </c>
      <c r="P48" s="57">
        <v>0</v>
      </c>
      <c r="Q48" s="57">
        <v>0</v>
      </c>
      <c r="R48" s="57">
        <v>0</v>
      </c>
      <c r="S48" s="57">
        <v>0</v>
      </c>
      <c r="T48" s="57">
        <v>0</v>
      </c>
      <c r="U48" s="57">
        <v>0</v>
      </c>
      <c r="V48" s="57">
        <v>0</v>
      </c>
      <c r="W48" s="57">
        <v>0</v>
      </c>
      <c r="X48" s="57">
        <v>0</v>
      </c>
      <c r="Y48" s="57">
        <v>0</v>
      </c>
      <c r="Z48" s="57">
        <v>0</v>
      </c>
      <c r="AA48" s="57">
        <v>0</v>
      </c>
      <c r="AB48" s="57">
        <v>0</v>
      </c>
      <c r="AC48" s="57">
        <v>0</v>
      </c>
      <c r="AD48" s="57">
        <v>0</v>
      </c>
      <c r="AE48" s="132">
        <v>0</v>
      </c>
    </row>
    <row r="49" spans="1:31">
      <c r="A49" s="127" t="s">
        <v>116</v>
      </c>
      <c r="B49" s="7">
        <f t="shared" si="0"/>
        <v>17166</v>
      </c>
      <c r="C49" s="89">
        <f t="shared" si="1"/>
        <v>17100</v>
      </c>
      <c r="D49" s="57">
        <v>372</v>
      </c>
      <c r="E49" s="57">
        <v>358</v>
      </c>
      <c r="F49" s="57">
        <v>15019</v>
      </c>
      <c r="G49" s="57">
        <v>15008</v>
      </c>
      <c r="H49" s="57">
        <v>0</v>
      </c>
      <c r="I49" s="57">
        <v>0</v>
      </c>
      <c r="J49" s="57">
        <v>4</v>
      </c>
      <c r="K49" s="57">
        <v>0</v>
      </c>
      <c r="L49" s="57">
        <v>147</v>
      </c>
      <c r="M49" s="57">
        <v>133</v>
      </c>
      <c r="N49" s="57">
        <v>4</v>
      </c>
      <c r="O49" s="57">
        <v>1</v>
      </c>
      <c r="P49" s="57">
        <v>465</v>
      </c>
      <c r="Q49" s="57">
        <v>479</v>
      </c>
      <c r="R49" s="57">
        <v>3</v>
      </c>
      <c r="S49" s="57">
        <v>3</v>
      </c>
      <c r="T49" s="57">
        <v>1147</v>
      </c>
      <c r="U49" s="57">
        <v>1114</v>
      </c>
      <c r="V49" s="57">
        <v>0</v>
      </c>
      <c r="W49" s="57">
        <v>2</v>
      </c>
      <c r="X49" s="57">
        <v>2</v>
      </c>
      <c r="Y49" s="57">
        <v>1</v>
      </c>
      <c r="Z49" s="57">
        <v>2</v>
      </c>
      <c r="AA49" s="57">
        <v>0</v>
      </c>
      <c r="AB49" s="57">
        <v>1</v>
      </c>
      <c r="AC49" s="57">
        <v>0</v>
      </c>
      <c r="AD49" s="57">
        <v>0</v>
      </c>
      <c r="AE49" s="132">
        <v>1</v>
      </c>
    </row>
    <row r="50" spans="1:31">
      <c r="A50" s="127" t="s">
        <v>34</v>
      </c>
      <c r="B50" s="7">
        <f t="shared" si="0"/>
        <v>6334</v>
      </c>
      <c r="C50" s="89">
        <f t="shared" si="1"/>
        <v>6582</v>
      </c>
      <c r="D50" s="57">
        <v>669</v>
      </c>
      <c r="E50" s="57">
        <v>700</v>
      </c>
      <c r="F50" s="57">
        <v>5194</v>
      </c>
      <c r="G50" s="57">
        <v>5399</v>
      </c>
      <c r="H50" s="57">
        <v>0</v>
      </c>
      <c r="I50" s="57">
        <v>0</v>
      </c>
      <c r="J50" s="57">
        <v>0</v>
      </c>
      <c r="K50" s="57">
        <v>0</v>
      </c>
      <c r="L50" s="57">
        <v>204</v>
      </c>
      <c r="M50" s="57">
        <v>207</v>
      </c>
      <c r="N50" s="57">
        <v>3</v>
      </c>
      <c r="O50" s="57">
        <v>2</v>
      </c>
      <c r="P50" s="57">
        <v>179</v>
      </c>
      <c r="Q50" s="57">
        <v>180</v>
      </c>
      <c r="R50" s="57">
        <v>6</v>
      </c>
      <c r="S50" s="57">
        <v>8</v>
      </c>
      <c r="T50" s="57">
        <v>72</v>
      </c>
      <c r="U50" s="57">
        <v>70</v>
      </c>
      <c r="V50" s="57">
        <v>0</v>
      </c>
      <c r="W50" s="57">
        <v>6</v>
      </c>
      <c r="X50" s="57">
        <v>0</v>
      </c>
      <c r="Y50" s="57">
        <v>0</v>
      </c>
      <c r="Z50" s="57">
        <v>3</v>
      </c>
      <c r="AA50" s="57">
        <v>3</v>
      </c>
      <c r="AB50" s="57">
        <v>0</v>
      </c>
      <c r="AC50" s="57">
        <v>0</v>
      </c>
      <c r="AD50" s="57">
        <v>4</v>
      </c>
      <c r="AE50" s="132">
        <v>7</v>
      </c>
    </row>
    <row r="51" spans="1:31">
      <c r="A51" s="127" t="s">
        <v>147</v>
      </c>
      <c r="B51" s="7">
        <f t="shared" si="0"/>
        <v>226</v>
      </c>
      <c r="C51" s="89">
        <f t="shared" si="1"/>
        <v>227</v>
      </c>
      <c r="D51" s="57">
        <v>16</v>
      </c>
      <c r="E51" s="57">
        <v>22</v>
      </c>
      <c r="F51" s="57">
        <v>178</v>
      </c>
      <c r="G51" s="57">
        <v>182</v>
      </c>
      <c r="H51" s="57">
        <v>0</v>
      </c>
      <c r="I51" s="57">
        <v>0</v>
      </c>
      <c r="J51" s="57">
        <v>0</v>
      </c>
      <c r="K51" s="57">
        <v>0</v>
      </c>
      <c r="L51" s="57">
        <v>1</v>
      </c>
      <c r="M51" s="57">
        <v>2</v>
      </c>
      <c r="N51" s="57">
        <v>0</v>
      </c>
      <c r="O51" s="57">
        <v>0</v>
      </c>
      <c r="P51" s="57">
        <v>11</v>
      </c>
      <c r="Q51" s="57">
        <v>12</v>
      </c>
      <c r="R51" s="57">
        <v>0</v>
      </c>
      <c r="S51" s="57">
        <v>0</v>
      </c>
      <c r="T51" s="57">
        <v>18</v>
      </c>
      <c r="U51" s="57">
        <v>7</v>
      </c>
      <c r="V51" s="57">
        <v>1</v>
      </c>
      <c r="W51" s="57">
        <v>0</v>
      </c>
      <c r="X51" s="57">
        <v>0</v>
      </c>
      <c r="Y51" s="57">
        <v>0</v>
      </c>
      <c r="Z51" s="57">
        <v>1</v>
      </c>
      <c r="AA51" s="57">
        <v>2</v>
      </c>
      <c r="AB51" s="57">
        <v>0</v>
      </c>
      <c r="AC51" s="57">
        <v>0</v>
      </c>
      <c r="AD51" s="57">
        <v>0</v>
      </c>
      <c r="AE51" s="132">
        <v>0</v>
      </c>
    </row>
    <row r="52" spans="1:31">
      <c r="A52" s="127" t="s">
        <v>363</v>
      </c>
      <c r="B52" s="7">
        <f t="shared" si="0"/>
        <v>14</v>
      </c>
      <c r="C52" s="89">
        <f t="shared" si="1"/>
        <v>13</v>
      </c>
      <c r="D52" s="57">
        <v>0</v>
      </c>
      <c r="E52" s="57">
        <v>0</v>
      </c>
      <c r="F52" s="57">
        <v>12</v>
      </c>
      <c r="G52" s="57">
        <v>10</v>
      </c>
      <c r="H52" s="57">
        <v>0</v>
      </c>
      <c r="I52" s="57">
        <v>0</v>
      </c>
      <c r="J52" s="57">
        <v>0</v>
      </c>
      <c r="K52" s="57">
        <v>0</v>
      </c>
      <c r="L52" s="57">
        <v>0</v>
      </c>
      <c r="M52" s="57">
        <v>0</v>
      </c>
      <c r="N52" s="57">
        <v>0</v>
      </c>
      <c r="O52" s="57">
        <v>0</v>
      </c>
      <c r="P52" s="57">
        <v>0</v>
      </c>
      <c r="Q52" s="57">
        <v>0</v>
      </c>
      <c r="R52" s="57">
        <v>0</v>
      </c>
      <c r="S52" s="57">
        <v>0</v>
      </c>
      <c r="T52" s="57">
        <v>2</v>
      </c>
      <c r="U52" s="57">
        <v>3</v>
      </c>
      <c r="V52" s="57">
        <v>0</v>
      </c>
      <c r="W52" s="57">
        <v>0</v>
      </c>
      <c r="X52" s="57">
        <v>0</v>
      </c>
      <c r="Y52" s="57">
        <v>0</v>
      </c>
      <c r="Z52" s="57">
        <v>0</v>
      </c>
      <c r="AA52" s="57">
        <v>0</v>
      </c>
      <c r="AB52" s="57">
        <v>0</v>
      </c>
      <c r="AC52" s="57">
        <v>0</v>
      </c>
      <c r="AD52" s="57">
        <v>0</v>
      </c>
      <c r="AE52" s="132">
        <v>0</v>
      </c>
    </row>
    <row r="53" spans="1:31">
      <c r="A53" s="127" t="s">
        <v>28</v>
      </c>
      <c r="B53" s="7">
        <f t="shared" si="0"/>
        <v>38202</v>
      </c>
      <c r="C53" s="89">
        <f t="shared" si="1"/>
        <v>40887</v>
      </c>
      <c r="D53" s="57">
        <v>376</v>
      </c>
      <c r="E53" s="57">
        <v>357</v>
      </c>
      <c r="F53" s="57">
        <v>36409</v>
      </c>
      <c r="G53" s="57">
        <v>39083</v>
      </c>
      <c r="H53" s="57">
        <v>3</v>
      </c>
      <c r="I53" s="57">
        <v>0</v>
      </c>
      <c r="J53" s="57">
        <v>22</v>
      </c>
      <c r="K53" s="57">
        <v>29</v>
      </c>
      <c r="L53" s="57">
        <v>582</v>
      </c>
      <c r="M53" s="57">
        <v>548</v>
      </c>
      <c r="N53" s="57">
        <v>5</v>
      </c>
      <c r="O53" s="57">
        <v>6</v>
      </c>
      <c r="P53" s="57">
        <v>520</v>
      </c>
      <c r="Q53" s="57">
        <v>584</v>
      </c>
      <c r="R53" s="57">
        <v>39</v>
      </c>
      <c r="S53" s="57">
        <v>43</v>
      </c>
      <c r="T53" s="57">
        <v>235</v>
      </c>
      <c r="U53" s="57">
        <v>222</v>
      </c>
      <c r="V53" s="57">
        <v>3</v>
      </c>
      <c r="W53" s="57">
        <v>0</v>
      </c>
      <c r="X53" s="57">
        <v>4</v>
      </c>
      <c r="Y53" s="57">
        <v>6</v>
      </c>
      <c r="Z53" s="57">
        <v>1</v>
      </c>
      <c r="AA53" s="57">
        <v>2</v>
      </c>
      <c r="AB53" s="57">
        <v>0</v>
      </c>
      <c r="AC53" s="57">
        <v>0</v>
      </c>
      <c r="AD53" s="57">
        <v>3</v>
      </c>
      <c r="AE53" s="132">
        <v>7</v>
      </c>
    </row>
    <row r="54" spans="1:31">
      <c r="A54" s="127" t="s">
        <v>364</v>
      </c>
      <c r="B54" s="7">
        <f t="shared" si="0"/>
        <v>1</v>
      </c>
      <c r="C54" s="89">
        <f t="shared" si="1"/>
        <v>1</v>
      </c>
      <c r="D54" s="57">
        <v>0</v>
      </c>
      <c r="E54" s="57">
        <v>0</v>
      </c>
      <c r="F54" s="57">
        <v>1</v>
      </c>
      <c r="G54" s="57">
        <v>1</v>
      </c>
      <c r="H54" s="57">
        <v>0</v>
      </c>
      <c r="I54" s="57">
        <v>0</v>
      </c>
      <c r="J54" s="57">
        <v>0</v>
      </c>
      <c r="K54" s="57">
        <v>0</v>
      </c>
      <c r="L54" s="57">
        <v>0</v>
      </c>
      <c r="M54" s="57">
        <v>0</v>
      </c>
      <c r="N54" s="57">
        <v>0</v>
      </c>
      <c r="O54" s="57">
        <v>0</v>
      </c>
      <c r="P54" s="57">
        <v>0</v>
      </c>
      <c r="Q54" s="57">
        <v>0</v>
      </c>
      <c r="R54" s="57">
        <v>0</v>
      </c>
      <c r="S54" s="57">
        <v>0</v>
      </c>
      <c r="T54" s="57">
        <v>0</v>
      </c>
      <c r="U54" s="57">
        <v>0</v>
      </c>
      <c r="V54" s="57">
        <v>0</v>
      </c>
      <c r="W54" s="57">
        <v>0</v>
      </c>
      <c r="X54" s="57">
        <v>0</v>
      </c>
      <c r="Y54" s="57">
        <v>0</v>
      </c>
      <c r="Z54" s="57">
        <v>0</v>
      </c>
      <c r="AA54" s="57">
        <v>0</v>
      </c>
      <c r="AB54" s="57">
        <v>0</v>
      </c>
      <c r="AC54" s="57">
        <v>0</v>
      </c>
      <c r="AD54" s="57">
        <v>0</v>
      </c>
      <c r="AE54" s="132">
        <v>0</v>
      </c>
    </row>
    <row r="55" spans="1:31">
      <c r="A55" s="127" t="s">
        <v>395</v>
      </c>
      <c r="B55" s="7">
        <f t="shared" si="0"/>
        <v>15</v>
      </c>
      <c r="C55" s="89">
        <f t="shared" si="1"/>
        <v>5</v>
      </c>
      <c r="D55" s="57">
        <v>0</v>
      </c>
      <c r="E55" s="57">
        <v>0</v>
      </c>
      <c r="F55" s="57">
        <v>15</v>
      </c>
      <c r="G55" s="57">
        <v>5</v>
      </c>
      <c r="H55" s="57">
        <v>0</v>
      </c>
      <c r="I55" s="57">
        <v>0</v>
      </c>
      <c r="J55" s="57">
        <v>0</v>
      </c>
      <c r="K55" s="57">
        <v>0</v>
      </c>
      <c r="L55" s="57">
        <v>0</v>
      </c>
      <c r="M55" s="57">
        <v>0</v>
      </c>
      <c r="N55" s="57">
        <v>0</v>
      </c>
      <c r="O55" s="57">
        <v>0</v>
      </c>
      <c r="P55" s="57">
        <v>0</v>
      </c>
      <c r="Q55" s="57">
        <v>0</v>
      </c>
      <c r="R55" s="57">
        <v>0</v>
      </c>
      <c r="S55" s="57">
        <v>0</v>
      </c>
      <c r="T55" s="57">
        <v>0</v>
      </c>
      <c r="U55" s="57">
        <v>0</v>
      </c>
      <c r="V55" s="57">
        <v>0</v>
      </c>
      <c r="W55" s="57">
        <v>0</v>
      </c>
      <c r="X55" s="57">
        <v>0</v>
      </c>
      <c r="Y55" s="57">
        <v>0</v>
      </c>
      <c r="Z55" s="57">
        <v>0</v>
      </c>
      <c r="AA55" s="57">
        <v>0</v>
      </c>
      <c r="AB55" s="57">
        <v>0</v>
      </c>
      <c r="AC55" s="57">
        <v>0</v>
      </c>
      <c r="AD55" s="57">
        <v>0</v>
      </c>
      <c r="AE55" s="132">
        <v>0</v>
      </c>
    </row>
    <row r="56" spans="1:31">
      <c r="A56" s="127" t="s">
        <v>396</v>
      </c>
      <c r="B56" s="7">
        <f t="shared" si="0"/>
        <v>17</v>
      </c>
      <c r="C56" s="89">
        <f t="shared" si="1"/>
        <v>16</v>
      </c>
      <c r="D56" s="57">
        <v>2</v>
      </c>
      <c r="E56" s="57">
        <v>2</v>
      </c>
      <c r="F56" s="57">
        <v>15</v>
      </c>
      <c r="G56" s="57">
        <v>14</v>
      </c>
      <c r="H56" s="57">
        <v>0</v>
      </c>
      <c r="I56" s="57">
        <v>0</v>
      </c>
      <c r="J56" s="57">
        <v>0</v>
      </c>
      <c r="K56" s="57">
        <v>0</v>
      </c>
      <c r="L56" s="57">
        <v>0</v>
      </c>
      <c r="M56" s="57">
        <v>0</v>
      </c>
      <c r="N56" s="57">
        <v>0</v>
      </c>
      <c r="O56" s="57">
        <v>0</v>
      </c>
      <c r="P56" s="57">
        <v>0</v>
      </c>
      <c r="Q56" s="57">
        <v>0</v>
      </c>
      <c r="R56" s="57">
        <v>0</v>
      </c>
      <c r="S56" s="57">
        <v>0</v>
      </c>
      <c r="T56" s="57">
        <v>0</v>
      </c>
      <c r="U56" s="57">
        <v>0</v>
      </c>
      <c r="V56" s="57">
        <v>0</v>
      </c>
      <c r="W56" s="57">
        <v>0</v>
      </c>
      <c r="X56" s="57">
        <v>0</v>
      </c>
      <c r="Y56" s="57">
        <v>0</v>
      </c>
      <c r="Z56" s="57">
        <v>0</v>
      </c>
      <c r="AA56" s="57">
        <v>0</v>
      </c>
      <c r="AB56" s="57">
        <v>0</v>
      </c>
      <c r="AC56" s="57">
        <v>0</v>
      </c>
      <c r="AD56" s="57">
        <v>0</v>
      </c>
      <c r="AE56" s="132">
        <v>0</v>
      </c>
    </row>
    <row r="57" spans="1:31">
      <c r="A57" s="127" t="s">
        <v>325</v>
      </c>
      <c r="B57" s="7">
        <f t="shared" si="0"/>
        <v>3021</v>
      </c>
      <c r="C57" s="89">
        <f t="shared" si="1"/>
        <v>3000</v>
      </c>
      <c r="D57" s="57">
        <v>232</v>
      </c>
      <c r="E57" s="57">
        <v>213</v>
      </c>
      <c r="F57" s="57">
        <v>2401</v>
      </c>
      <c r="G57" s="57">
        <v>2402</v>
      </c>
      <c r="H57" s="57">
        <v>0</v>
      </c>
      <c r="I57" s="57">
        <v>0</v>
      </c>
      <c r="J57" s="57">
        <v>0</v>
      </c>
      <c r="K57" s="57">
        <v>0</v>
      </c>
      <c r="L57" s="57">
        <v>36</v>
      </c>
      <c r="M57" s="57">
        <v>45</v>
      </c>
      <c r="N57" s="57">
        <v>0</v>
      </c>
      <c r="O57" s="57">
        <v>1</v>
      </c>
      <c r="P57" s="57">
        <v>322</v>
      </c>
      <c r="Q57" s="57">
        <v>305</v>
      </c>
      <c r="R57" s="57">
        <v>22</v>
      </c>
      <c r="S57" s="57">
        <v>22</v>
      </c>
      <c r="T57" s="57">
        <v>6</v>
      </c>
      <c r="U57" s="57">
        <v>11</v>
      </c>
      <c r="V57" s="57">
        <v>0</v>
      </c>
      <c r="W57" s="57">
        <v>0</v>
      </c>
      <c r="X57" s="57">
        <v>1</v>
      </c>
      <c r="Y57" s="57">
        <v>1</v>
      </c>
      <c r="Z57" s="57">
        <v>0</v>
      </c>
      <c r="AA57" s="57">
        <v>0</v>
      </c>
      <c r="AB57" s="57">
        <v>0</v>
      </c>
      <c r="AC57" s="57">
        <v>0</v>
      </c>
      <c r="AD57" s="57">
        <v>1</v>
      </c>
      <c r="AE57" s="132">
        <v>0</v>
      </c>
    </row>
    <row r="58" spans="1:31">
      <c r="A58" s="127" t="s">
        <v>62</v>
      </c>
      <c r="B58" s="7">
        <f t="shared" si="0"/>
        <v>27</v>
      </c>
      <c r="C58" s="89">
        <f t="shared" si="1"/>
        <v>27</v>
      </c>
      <c r="D58" s="57">
        <v>5</v>
      </c>
      <c r="E58" s="57">
        <v>6</v>
      </c>
      <c r="F58" s="57">
        <v>21</v>
      </c>
      <c r="G58" s="57">
        <v>20</v>
      </c>
      <c r="H58" s="57">
        <v>0</v>
      </c>
      <c r="I58" s="57">
        <v>0</v>
      </c>
      <c r="J58" s="57">
        <v>0</v>
      </c>
      <c r="K58" s="57">
        <v>0</v>
      </c>
      <c r="L58" s="57">
        <v>0</v>
      </c>
      <c r="M58" s="57">
        <v>0</v>
      </c>
      <c r="N58" s="57">
        <v>0</v>
      </c>
      <c r="O58" s="57">
        <v>0</v>
      </c>
      <c r="P58" s="57">
        <v>1</v>
      </c>
      <c r="Q58" s="57">
        <v>1</v>
      </c>
      <c r="R58" s="57">
        <v>0</v>
      </c>
      <c r="S58" s="57">
        <v>0</v>
      </c>
      <c r="T58" s="57">
        <v>0</v>
      </c>
      <c r="U58" s="57">
        <v>0</v>
      </c>
      <c r="V58" s="57">
        <v>0</v>
      </c>
      <c r="W58" s="57">
        <v>0</v>
      </c>
      <c r="X58" s="57">
        <v>0</v>
      </c>
      <c r="Y58" s="57">
        <v>0</v>
      </c>
      <c r="Z58" s="57">
        <v>0</v>
      </c>
      <c r="AA58" s="57">
        <v>0</v>
      </c>
      <c r="AB58" s="57">
        <v>0</v>
      </c>
      <c r="AC58" s="57">
        <v>0</v>
      </c>
      <c r="AD58" s="57">
        <v>0</v>
      </c>
      <c r="AE58" s="132">
        <v>0</v>
      </c>
    </row>
    <row r="59" spans="1:31">
      <c r="A59" s="127" t="s">
        <v>18</v>
      </c>
      <c r="B59" s="7">
        <f t="shared" si="0"/>
        <v>909382</v>
      </c>
      <c r="C59" s="89">
        <f t="shared" si="1"/>
        <v>933068</v>
      </c>
      <c r="D59" s="57">
        <v>7893</v>
      </c>
      <c r="E59" s="57">
        <v>6865</v>
      </c>
      <c r="F59" s="57">
        <v>740997</v>
      </c>
      <c r="G59" s="57">
        <v>741335</v>
      </c>
      <c r="H59" s="57">
        <v>7</v>
      </c>
      <c r="I59" s="57">
        <v>12</v>
      </c>
      <c r="J59" s="57">
        <v>1183</v>
      </c>
      <c r="K59" s="57">
        <v>1466</v>
      </c>
      <c r="L59" s="57">
        <v>45886</v>
      </c>
      <c r="M59" s="57">
        <v>52932</v>
      </c>
      <c r="N59" s="57">
        <v>1702</v>
      </c>
      <c r="O59" s="57">
        <v>2096</v>
      </c>
      <c r="P59" s="57">
        <v>74102</v>
      </c>
      <c r="Q59" s="57">
        <v>87497</v>
      </c>
      <c r="R59" s="57">
        <v>11497</v>
      </c>
      <c r="S59" s="57">
        <v>13810</v>
      </c>
      <c r="T59" s="57">
        <v>25801</v>
      </c>
      <c r="U59" s="57">
        <v>26701</v>
      </c>
      <c r="V59" s="57">
        <v>10</v>
      </c>
      <c r="W59" s="57">
        <v>13</v>
      </c>
      <c r="X59" s="57">
        <v>113</v>
      </c>
      <c r="Y59" s="57">
        <v>102</v>
      </c>
      <c r="Z59" s="57">
        <v>16</v>
      </c>
      <c r="AA59" s="57">
        <v>27</v>
      </c>
      <c r="AB59" s="57">
        <v>29</v>
      </c>
      <c r="AC59" s="57">
        <v>20</v>
      </c>
      <c r="AD59" s="57">
        <v>146</v>
      </c>
      <c r="AE59" s="132">
        <v>192</v>
      </c>
    </row>
    <row r="60" spans="1:31">
      <c r="A60" s="127" t="s">
        <v>196</v>
      </c>
      <c r="B60" s="7">
        <f t="shared" si="0"/>
        <v>607</v>
      </c>
      <c r="C60" s="89">
        <f t="shared" si="1"/>
        <v>595</v>
      </c>
      <c r="D60" s="57">
        <v>58</v>
      </c>
      <c r="E60" s="57">
        <v>66</v>
      </c>
      <c r="F60" s="57">
        <v>489</v>
      </c>
      <c r="G60" s="57">
        <v>475</v>
      </c>
      <c r="H60" s="57">
        <v>0</v>
      </c>
      <c r="I60" s="57">
        <v>0</v>
      </c>
      <c r="J60" s="57">
        <v>0</v>
      </c>
      <c r="K60" s="57">
        <v>0</v>
      </c>
      <c r="L60" s="57">
        <v>8</v>
      </c>
      <c r="M60" s="57">
        <v>12</v>
      </c>
      <c r="N60" s="57">
        <v>0</v>
      </c>
      <c r="O60" s="57">
        <v>0</v>
      </c>
      <c r="P60" s="57">
        <v>24</v>
      </c>
      <c r="Q60" s="57">
        <v>18</v>
      </c>
      <c r="R60" s="57">
        <v>3</v>
      </c>
      <c r="S60" s="57">
        <v>3</v>
      </c>
      <c r="T60" s="57">
        <v>14</v>
      </c>
      <c r="U60" s="57">
        <v>9</v>
      </c>
      <c r="V60" s="57">
        <v>2</v>
      </c>
      <c r="W60" s="57">
        <v>5</v>
      </c>
      <c r="X60" s="57">
        <v>4</v>
      </c>
      <c r="Y60" s="57">
        <v>4</v>
      </c>
      <c r="Z60" s="57">
        <v>1</v>
      </c>
      <c r="AA60" s="57">
        <v>1</v>
      </c>
      <c r="AB60" s="57">
        <v>2</v>
      </c>
      <c r="AC60" s="57">
        <v>1</v>
      </c>
      <c r="AD60" s="57">
        <v>2</v>
      </c>
      <c r="AE60" s="132">
        <v>1</v>
      </c>
    </row>
    <row r="61" spans="1:31">
      <c r="A61" s="127" t="s">
        <v>30</v>
      </c>
      <c r="B61" s="7">
        <f t="shared" si="0"/>
        <v>1372</v>
      </c>
      <c r="C61" s="89">
        <f t="shared" si="1"/>
        <v>1453</v>
      </c>
      <c r="D61" s="57">
        <v>50</v>
      </c>
      <c r="E61" s="57">
        <v>53</v>
      </c>
      <c r="F61" s="57">
        <v>1243</v>
      </c>
      <c r="G61" s="57">
        <v>1301</v>
      </c>
      <c r="H61" s="57">
        <v>0</v>
      </c>
      <c r="I61" s="57">
        <v>0</v>
      </c>
      <c r="J61" s="57">
        <v>0</v>
      </c>
      <c r="K61" s="57">
        <v>0</v>
      </c>
      <c r="L61" s="57">
        <v>22</v>
      </c>
      <c r="M61" s="57">
        <v>15</v>
      </c>
      <c r="N61" s="57">
        <v>0</v>
      </c>
      <c r="O61" s="57">
        <v>0</v>
      </c>
      <c r="P61" s="57">
        <v>51</v>
      </c>
      <c r="Q61" s="57">
        <v>65</v>
      </c>
      <c r="R61" s="57">
        <v>3</v>
      </c>
      <c r="S61" s="57">
        <v>14</v>
      </c>
      <c r="T61" s="57">
        <v>2</v>
      </c>
      <c r="U61" s="57">
        <v>5</v>
      </c>
      <c r="V61" s="57">
        <v>1</v>
      </c>
      <c r="W61" s="57">
        <v>0</v>
      </c>
      <c r="X61" s="57">
        <v>0</v>
      </c>
      <c r="Y61" s="57">
        <v>0</v>
      </c>
      <c r="Z61" s="57">
        <v>0</v>
      </c>
      <c r="AA61" s="57">
        <v>0</v>
      </c>
      <c r="AB61" s="57">
        <v>0</v>
      </c>
      <c r="AC61" s="57">
        <v>0</v>
      </c>
      <c r="AD61" s="57">
        <v>0</v>
      </c>
      <c r="AE61" s="132">
        <v>0</v>
      </c>
    </row>
    <row r="62" spans="1:31">
      <c r="A62" s="127" t="s">
        <v>197</v>
      </c>
      <c r="B62" s="7">
        <f t="shared" si="0"/>
        <v>8992</v>
      </c>
      <c r="C62" s="89">
        <f t="shared" si="1"/>
        <v>9187</v>
      </c>
      <c r="D62" s="57">
        <v>322</v>
      </c>
      <c r="E62" s="57">
        <v>678</v>
      </c>
      <c r="F62" s="57">
        <v>7662</v>
      </c>
      <c r="G62" s="57">
        <v>7501</v>
      </c>
      <c r="H62" s="57">
        <v>0</v>
      </c>
      <c r="I62" s="57">
        <v>0</v>
      </c>
      <c r="J62" s="57">
        <v>1</v>
      </c>
      <c r="K62" s="57">
        <v>1</v>
      </c>
      <c r="L62" s="57">
        <v>78</v>
      </c>
      <c r="M62" s="57">
        <v>107</v>
      </c>
      <c r="N62" s="57">
        <v>1</v>
      </c>
      <c r="O62" s="57">
        <v>6</v>
      </c>
      <c r="P62" s="57">
        <v>491</v>
      </c>
      <c r="Q62" s="57">
        <v>409</v>
      </c>
      <c r="R62" s="57">
        <v>7</v>
      </c>
      <c r="S62" s="57">
        <v>8</v>
      </c>
      <c r="T62" s="57">
        <v>378</v>
      </c>
      <c r="U62" s="57">
        <v>431</v>
      </c>
      <c r="V62" s="57">
        <v>38</v>
      </c>
      <c r="W62" s="57">
        <v>35</v>
      </c>
      <c r="X62" s="57">
        <v>2</v>
      </c>
      <c r="Y62" s="57">
        <v>1</v>
      </c>
      <c r="Z62" s="57">
        <v>2</v>
      </c>
      <c r="AA62" s="57">
        <v>1</v>
      </c>
      <c r="AB62" s="57">
        <v>1</v>
      </c>
      <c r="AC62" s="57">
        <v>0</v>
      </c>
      <c r="AD62" s="57">
        <v>9</v>
      </c>
      <c r="AE62" s="132">
        <v>9</v>
      </c>
    </row>
    <row r="63" spans="1:31">
      <c r="A63" s="127" t="s">
        <v>365</v>
      </c>
      <c r="B63" s="7">
        <f t="shared" si="0"/>
        <v>1</v>
      </c>
      <c r="C63" s="89">
        <f t="shared" si="1"/>
        <v>1</v>
      </c>
      <c r="D63" s="57">
        <v>0</v>
      </c>
      <c r="E63" s="57">
        <v>0</v>
      </c>
      <c r="F63" s="57">
        <v>1</v>
      </c>
      <c r="G63" s="57">
        <v>1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57">
        <v>0</v>
      </c>
      <c r="N63" s="57">
        <v>0</v>
      </c>
      <c r="O63" s="57">
        <v>0</v>
      </c>
      <c r="P63" s="57">
        <v>0</v>
      </c>
      <c r="Q63" s="57">
        <v>0</v>
      </c>
      <c r="R63" s="57">
        <v>0</v>
      </c>
      <c r="S63" s="57">
        <v>0</v>
      </c>
      <c r="T63" s="57">
        <v>0</v>
      </c>
      <c r="U63" s="57">
        <v>0</v>
      </c>
      <c r="V63" s="57">
        <v>0</v>
      </c>
      <c r="W63" s="57">
        <v>0</v>
      </c>
      <c r="X63" s="57">
        <v>0</v>
      </c>
      <c r="Y63" s="57">
        <v>0</v>
      </c>
      <c r="Z63" s="57">
        <v>0</v>
      </c>
      <c r="AA63" s="57">
        <v>0</v>
      </c>
      <c r="AB63" s="57">
        <v>0</v>
      </c>
      <c r="AC63" s="57">
        <v>0</v>
      </c>
      <c r="AD63" s="57">
        <v>0</v>
      </c>
      <c r="AE63" s="132">
        <v>0</v>
      </c>
    </row>
    <row r="64" spans="1:31">
      <c r="A64" s="127" t="s">
        <v>118</v>
      </c>
      <c r="B64" s="7">
        <f t="shared" si="0"/>
        <v>48</v>
      </c>
      <c r="C64" s="89">
        <f t="shared" si="1"/>
        <v>43</v>
      </c>
      <c r="D64" s="57">
        <v>6</v>
      </c>
      <c r="E64" s="57">
        <v>10</v>
      </c>
      <c r="F64" s="57">
        <v>39</v>
      </c>
      <c r="G64" s="57">
        <v>28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3</v>
      </c>
      <c r="Q64" s="57">
        <v>3</v>
      </c>
      <c r="R64" s="57">
        <v>0</v>
      </c>
      <c r="S64" s="57">
        <v>1</v>
      </c>
      <c r="T64" s="57">
        <v>0</v>
      </c>
      <c r="U64" s="57">
        <v>1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132">
        <v>0</v>
      </c>
    </row>
    <row r="65" spans="1:31">
      <c r="A65" s="127" t="s">
        <v>31</v>
      </c>
      <c r="B65" s="7">
        <f t="shared" si="0"/>
        <v>5257</v>
      </c>
      <c r="C65" s="89">
        <f t="shared" si="1"/>
        <v>5561</v>
      </c>
      <c r="D65" s="57">
        <v>91</v>
      </c>
      <c r="E65" s="57">
        <v>98</v>
      </c>
      <c r="F65" s="57">
        <v>4996</v>
      </c>
      <c r="G65" s="57">
        <v>5235</v>
      </c>
      <c r="H65" s="57">
        <v>0</v>
      </c>
      <c r="I65" s="57">
        <v>0</v>
      </c>
      <c r="J65" s="57">
        <v>0</v>
      </c>
      <c r="K65" s="57">
        <v>2</v>
      </c>
      <c r="L65" s="57">
        <v>39</v>
      </c>
      <c r="M65" s="57">
        <v>47</v>
      </c>
      <c r="N65" s="57">
        <v>0</v>
      </c>
      <c r="O65" s="57">
        <v>0</v>
      </c>
      <c r="P65" s="57">
        <v>75</v>
      </c>
      <c r="Q65" s="57">
        <v>115</v>
      </c>
      <c r="R65" s="57">
        <v>5</v>
      </c>
      <c r="S65" s="57">
        <v>16</v>
      </c>
      <c r="T65" s="57">
        <v>44</v>
      </c>
      <c r="U65" s="57">
        <v>44</v>
      </c>
      <c r="V65" s="57">
        <v>2</v>
      </c>
      <c r="W65" s="57">
        <v>0</v>
      </c>
      <c r="X65" s="57">
        <v>4</v>
      </c>
      <c r="Y65" s="57">
        <v>0</v>
      </c>
      <c r="Z65" s="57">
        <v>1</v>
      </c>
      <c r="AA65" s="57">
        <v>1</v>
      </c>
      <c r="AB65" s="57">
        <v>0</v>
      </c>
      <c r="AC65" s="57">
        <v>0</v>
      </c>
      <c r="AD65" s="57">
        <v>0</v>
      </c>
      <c r="AE65" s="132">
        <v>3</v>
      </c>
    </row>
    <row r="66" spans="1:31">
      <c r="A66" s="127" t="s">
        <v>63</v>
      </c>
      <c r="B66" s="7">
        <f t="shared" si="0"/>
        <v>206</v>
      </c>
      <c r="C66" s="89">
        <f t="shared" si="1"/>
        <v>200</v>
      </c>
      <c r="D66" s="57">
        <v>29</v>
      </c>
      <c r="E66" s="57">
        <v>32</v>
      </c>
      <c r="F66" s="57">
        <v>167</v>
      </c>
      <c r="G66" s="57">
        <v>162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57">
        <v>1</v>
      </c>
      <c r="N66" s="57">
        <v>0</v>
      </c>
      <c r="O66" s="57">
        <v>0</v>
      </c>
      <c r="P66" s="57">
        <v>6</v>
      </c>
      <c r="Q66" s="57">
        <v>4</v>
      </c>
      <c r="R66" s="57">
        <v>0</v>
      </c>
      <c r="S66" s="57">
        <v>0</v>
      </c>
      <c r="T66" s="57">
        <v>4</v>
      </c>
      <c r="U66" s="57">
        <v>0</v>
      </c>
      <c r="V66" s="57">
        <v>0</v>
      </c>
      <c r="W66" s="57">
        <v>0</v>
      </c>
      <c r="X66" s="57">
        <v>0</v>
      </c>
      <c r="Y66" s="57">
        <v>1</v>
      </c>
      <c r="Z66" s="57">
        <v>0</v>
      </c>
      <c r="AA66" s="57">
        <v>0</v>
      </c>
      <c r="AB66" s="57">
        <v>0</v>
      </c>
      <c r="AC66" s="57">
        <v>0</v>
      </c>
      <c r="AD66" s="57">
        <v>0</v>
      </c>
      <c r="AE66" s="132">
        <v>0</v>
      </c>
    </row>
    <row r="67" spans="1:31">
      <c r="A67" s="127" t="s">
        <v>32</v>
      </c>
      <c r="B67" s="7">
        <f t="shared" si="0"/>
        <v>63689</v>
      </c>
      <c r="C67" s="89">
        <f t="shared" si="1"/>
        <v>63903</v>
      </c>
      <c r="D67" s="57">
        <v>285</v>
      </c>
      <c r="E67" s="57">
        <v>216</v>
      </c>
      <c r="F67" s="57">
        <v>29536</v>
      </c>
      <c r="G67" s="57">
        <v>29705</v>
      </c>
      <c r="H67" s="57">
        <v>0</v>
      </c>
      <c r="I67" s="57">
        <v>0</v>
      </c>
      <c r="J67" s="57">
        <v>86</v>
      </c>
      <c r="K67" s="57">
        <v>97</v>
      </c>
      <c r="L67" s="57">
        <v>6048</v>
      </c>
      <c r="M67" s="57">
        <v>5952</v>
      </c>
      <c r="N67" s="57">
        <v>1</v>
      </c>
      <c r="O67" s="57">
        <v>2</v>
      </c>
      <c r="P67" s="57">
        <v>27241</v>
      </c>
      <c r="Q67" s="57">
        <v>26025</v>
      </c>
      <c r="R67" s="57">
        <v>293</v>
      </c>
      <c r="S67" s="57">
        <v>1658</v>
      </c>
      <c r="T67" s="57">
        <v>189</v>
      </c>
      <c r="U67" s="57">
        <v>234</v>
      </c>
      <c r="V67" s="57">
        <v>0</v>
      </c>
      <c r="W67" s="57">
        <v>0</v>
      </c>
      <c r="X67" s="57">
        <v>4</v>
      </c>
      <c r="Y67" s="57">
        <v>5</v>
      </c>
      <c r="Z67" s="57">
        <v>2</v>
      </c>
      <c r="AA67" s="57">
        <v>6</v>
      </c>
      <c r="AB67" s="57">
        <v>3</v>
      </c>
      <c r="AC67" s="57">
        <v>3</v>
      </c>
      <c r="AD67" s="57">
        <v>1</v>
      </c>
      <c r="AE67" s="132">
        <v>0</v>
      </c>
    </row>
    <row r="68" spans="1:31">
      <c r="A68" s="127" t="s">
        <v>148</v>
      </c>
      <c r="B68" s="7">
        <f t="shared" si="0"/>
        <v>82</v>
      </c>
      <c r="C68" s="89">
        <f t="shared" si="1"/>
        <v>80</v>
      </c>
      <c r="D68" s="57">
        <v>9</v>
      </c>
      <c r="E68" s="57">
        <v>9</v>
      </c>
      <c r="F68" s="57">
        <v>72</v>
      </c>
      <c r="G68" s="57">
        <v>68</v>
      </c>
      <c r="H68" s="57">
        <v>0</v>
      </c>
      <c r="I68" s="57">
        <v>0</v>
      </c>
      <c r="J68" s="57">
        <v>0</v>
      </c>
      <c r="K68" s="57">
        <v>0</v>
      </c>
      <c r="L68" s="57">
        <v>0</v>
      </c>
      <c r="M68" s="57">
        <v>1</v>
      </c>
      <c r="N68" s="57">
        <v>0</v>
      </c>
      <c r="O68" s="57">
        <v>0</v>
      </c>
      <c r="P68" s="57">
        <v>0</v>
      </c>
      <c r="Q68" s="57">
        <v>1</v>
      </c>
      <c r="R68" s="57">
        <v>0</v>
      </c>
      <c r="S68" s="57">
        <v>0</v>
      </c>
      <c r="T68" s="57">
        <v>1</v>
      </c>
      <c r="U68" s="57">
        <v>1</v>
      </c>
      <c r="V68" s="57">
        <v>0</v>
      </c>
      <c r="W68" s="57">
        <v>0</v>
      </c>
      <c r="X68" s="57">
        <v>0</v>
      </c>
      <c r="Y68" s="57">
        <v>0</v>
      </c>
      <c r="Z68" s="57">
        <v>0</v>
      </c>
      <c r="AA68" s="57">
        <v>0</v>
      </c>
      <c r="AB68" s="57">
        <v>0</v>
      </c>
      <c r="AC68" s="57">
        <v>0</v>
      </c>
      <c r="AD68" s="57">
        <v>0</v>
      </c>
      <c r="AE68" s="132">
        <v>0</v>
      </c>
    </row>
    <row r="69" spans="1:31">
      <c r="A69" s="127" t="s">
        <v>64</v>
      </c>
      <c r="B69" s="7">
        <f t="shared" si="0"/>
        <v>1</v>
      </c>
      <c r="C69" s="89">
        <f t="shared" si="1"/>
        <v>2</v>
      </c>
      <c r="D69" s="57">
        <v>0</v>
      </c>
      <c r="E69" s="57">
        <v>0</v>
      </c>
      <c r="F69" s="57">
        <v>1</v>
      </c>
      <c r="G69" s="57">
        <v>2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57">
        <v>0</v>
      </c>
      <c r="N69" s="57">
        <v>0</v>
      </c>
      <c r="O69" s="57">
        <v>0</v>
      </c>
      <c r="P69" s="57">
        <v>0</v>
      </c>
      <c r="Q69" s="57">
        <v>0</v>
      </c>
      <c r="R69" s="57">
        <v>0</v>
      </c>
      <c r="S69" s="57">
        <v>0</v>
      </c>
      <c r="T69" s="57">
        <v>0</v>
      </c>
      <c r="U69" s="57">
        <v>0</v>
      </c>
      <c r="V69" s="57">
        <v>0</v>
      </c>
      <c r="W69" s="57">
        <v>0</v>
      </c>
      <c r="X69" s="57">
        <v>0</v>
      </c>
      <c r="Y69" s="57">
        <v>0</v>
      </c>
      <c r="Z69" s="57">
        <v>0</v>
      </c>
      <c r="AA69" s="57">
        <v>0</v>
      </c>
      <c r="AB69" s="57">
        <v>0</v>
      </c>
      <c r="AC69" s="57">
        <v>0</v>
      </c>
      <c r="AD69" s="57">
        <v>0</v>
      </c>
      <c r="AE69" s="132">
        <v>0</v>
      </c>
    </row>
    <row r="70" spans="1:31">
      <c r="A70" s="127" t="s">
        <v>198</v>
      </c>
      <c r="B70" s="7">
        <f t="shared" si="0"/>
        <v>1835</v>
      </c>
      <c r="C70" s="89">
        <f t="shared" si="1"/>
        <v>1927</v>
      </c>
      <c r="D70" s="57">
        <v>138</v>
      </c>
      <c r="E70" s="57">
        <v>150</v>
      </c>
      <c r="F70" s="57">
        <v>1518</v>
      </c>
      <c r="G70" s="57">
        <v>1568</v>
      </c>
      <c r="H70" s="57">
        <v>0</v>
      </c>
      <c r="I70" s="57">
        <v>0</v>
      </c>
      <c r="J70" s="57">
        <v>0</v>
      </c>
      <c r="K70" s="57">
        <v>0</v>
      </c>
      <c r="L70" s="57">
        <v>29</v>
      </c>
      <c r="M70" s="57">
        <v>40</v>
      </c>
      <c r="N70" s="57">
        <v>0</v>
      </c>
      <c r="O70" s="57">
        <v>0</v>
      </c>
      <c r="P70" s="57">
        <v>75</v>
      </c>
      <c r="Q70" s="57">
        <v>108</v>
      </c>
      <c r="R70" s="57">
        <v>7</v>
      </c>
      <c r="S70" s="57">
        <v>4</v>
      </c>
      <c r="T70" s="57">
        <v>66</v>
      </c>
      <c r="U70" s="57">
        <v>56</v>
      </c>
      <c r="V70" s="57">
        <v>1</v>
      </c>
      <c r="W70" s="57">
        <v>0</v>
      </c>
      <c r="X70" s="57">
        <v>0</v>
      </c>
      <c r="Y70" s="57">
        <v>0</v>
      </c>
      <c r="Z70" s="57">
        <v>0</v>
      </c>
      <c r="AA70" s="57">
        <v>0</v>
      </c>
      <c r="AB70" s="57">
        <v>0</v>
      </c>
      <c r="AC70" s="57">
        <v>0</v>
      </c>
      <c r="AD70" s="57">
        <v>1</v>
      </c>
      <c r="AE70" s="132">
        <v>1</v>
      </c>
    </row>
    <row r="71" spans="1:31">
      <c r="A71" s="127" t="s">
        <v>199</v>
      </c>
      <c r="B71" s="7">
        <f t="shared" si="0"/>
        <v>601</v>
      </c>
      <c r="C71" s="89">
        <f t="shared" si="1"/>
        <v>624</v>
      </c>
      <c r="D71" s="57">
        <v>26</v>
      </c>
      <c r="E71" s="57">
        <v>25</v>
      </c>
      <c r="F71" s="57">
        <v>496</v>
      </c>
      <c r="G71" s="57">
        <v>534</v>
      </c>
      <c r="H71" s="57">
        <v>0</v>
      </c>
      <c r="I71" s="57">
        <v>0</v>
      </c>
      <c r="J71" s="57">
        <v>3</v>
      </c>
      <c r="K71" s="57">
        <v>0</v>
      </c>
      <c r="L71" s="57">
        <v>5</v>
      </c>
      <c r="M71" s="57">
        <v>15</v>
      </c>
      <c r="N71" s="57">
        <v>0</v>
      </c>
      <c r="O71" s="57">
        <v>0</v>
      </c>
      <c r="P71" s="57">
        <v>42</v>
      </c>
      <c r="Q71" s="57">
        <v>29</v>
      </c>
      <c r="R71" s="57">
        <v>0</v>
      </c>
      <c r="S71" s="57">
        <v>1</v>
      </c>
      <c r="T71" s="57">
        <v>24</v>
      </c>
      <c r="U71" s="57">
        <v>20</v>
      </c>
      <c r="V71" s="57">
        <v>2</v>
      </c>
      <c r="W71" s="57">
        <v>0</v>
      </c>
      <c r="X71" s="57">
        <v>2</v>
      </c>
      <c r="Y71" s="57">
        <v>0</v>
      </c>
      <c r="Z71" s="57">
        <v>0</v>
      </c>
      <c r="AA71" s="57">
        <v>0</v>
      </c>
      <c r="AB71" s="57">
        <v>0</v>
      </c>
      <c r="AC71" s="57">
        <v>0</v>
      </c>
      <c r="AD71" s="57">
        <v>1</v>
      </c>
      <c r="AE71" s="132">
        <v>0</v>
      </c>
    </row>
    <row r="72" spans="1:31">
      <c r="A72" s="127" t="s">
        <v>200</v>
      </c>
      <c r="B72" s="7">
        <f t="shared" si="0"/>
        <v>70112</v>
      </c>
      <c r="C72" s="89">
        <f t="shared" si="1"/>
        <v>71694</v>
      </c>
      <c r="D72" s="57">
        <v>948</v>
      </c>
      <c r="E72" s="57">
        <v>898</v>
      </c>
      <c r="F72" s="57">
        <v>63345</v>
      </c>
      <c r="G72" s="57">
        <v>64925</v>
      </c>
      <c r="H72" s="57">
        <v>0</v>
      </c>
      <c r="I72" s="57">
        <v>0</v>
      </c>
      <c r="J72" s="57">
        <v>23</v>
      </c>
      <c r="K72" s="57">
        <v>20</v>
      </c>
      <c r="L72" s="57">
        <v>620</v>
      </c>
      <c r="M72" s="57">
        <v>571</v>
      </c>
      <c r="N72" s="57">
        <v>22</v>
      </c>
      <c r="O72" s="57">
        <v>27</v>
      </c>
      <c r="P72" s="57">
        <v>2570</v>
      </c>
      <c r="Q72" s="57">
        <v>2620</v>
      </c>
      <c r="R72" s="57">
        <v>117</v>
      </c>
      <c r="S72" s="57">
        <v>123</v>
      </c>
      <c r="T72" s="57">
        <v>2442</v>
      </c>
      <c r="U72" s="57">
        <v>2484</v>
      </c>
      <c r="V72" s="57">
        <v>3</v>
      </c>
      <c r="W72" s="57">
        <v>6</v>
      </c>
      <c r="X72" s="57">
        <v>3</v>
      </c>
      <c r="Y72" s="57">
        <v>3</v>
      </c>
      <c r="Z72" s="57">
        <v>7</v>
      </c>
      <c r="AA72" s="57">
        <v>2</v>
      </c>
      <c r="AB72" s="57">
        <v>0</v>
      </c>
      <c r="AC72" s="57">
        <v>0</v>
      </c>
      <c r="AD72" s="57">
        <v>12</v>
      </c>
      <c r="AE72" s="132">
        <v>15</v>
      </c>
    </row>
    <row r="73" spans="1:31">
      <c r="A73" s="127" t="s">
        <v>26</v>
      </c>
      <c r="B73" s="7">
        <f t="shared" si="0"/>
        <v>1414774</v>
      </c>
      <c r="C73" s="89">
        <f t="shared" si="1"/>
        <v>1434000</v>
      </c>
      <c r="D73" s="57">
        <v>555102</v>
      </c>
      <c r="E73" s="57">
        <v>572627</v>
      </c>
      <c r="F73" s="57">
        <v>810256</v>
      </c>
      <c r="G73" s="57">
        <v>808681</v>
      </c>
      <c r="H73" s="57">
        <v>14</v>
      </c>
      <c r="I73" s="57">
        <v>20</v>
      </c>
      <c r="J73" s="57">
        <v>162</v>
      </c>
      <c r="K73" s="57">
        <v>197</v>
      </c>
      <c r="L73" s="57">
        <v>3975</v>
      </c>
      <c r="M73" s="57">
        <v>4616</v>
      </c>
      <c r="N73" s="57">
        <v>289</v>
      </c>
      <c r="O73" s="57">
        <v>295</v>
      </c>
      <c r="P73" s="57">
        <v>36809</v>
      </c>
      <c r="Q73" s="57">
        <v>39169</v>
      </c>
      <c r="R73" s="57">
        <v>1495</v>
      </c>
      <c r="S73" s="57">
        <v>1592</v>
      </c>
      <c r="T73" s="57">
        <v>4916</v>
      </c>
      <c r="U73" s="57">
        <v>5081</v>
      </c>
      <c r="V73" s="57">
        <v>85</v>
      </c>
      <c r="W73" s="57">
        <v>140</v>
      </c>
      <c r="X73" s="57">
        <v>330</v>
      </c>
      <c r="Y73" s="57">
        <v>195</v>
      </c>
      <c r="Z73" s="57">
        <v>333</v>
      </c>
      <c r="AA73" s="57">
        <v>208</v>
      </c>
      <c r="AB73" s="57">
        <v>83</v>
      </c>
      <c r="AC73" s="57">
        <v>88</v>
      </c>
      <c r="AD73" s="57">
        <v>925</v>
      </c>
      <c r="AE73" s="132">
        <v>1091</v>
      </c>
    </row>
    <row r="74" spans="1:31">
      <c r="A74" s="127" t="s">
        <v>201</v>
      </c>
      <c r="B74" s="7">
        <f t="shared" si="0"/>
        <v>716</v>
      </c>
      <c r="C74" s="89">
        <f t="shared" si="1"/>
        <v>652</v>
      </c>
      <c r="D74" s="57">
        <v>69</v>
      </c>
      <c r="E74" s="57">
        <v>58</v>
      </c>
      <c r="F74" s="57">
        <v>585</v>
      </c>
      <c r="G74" s="57">
        <v>530</v>
      </c>
      <c r="H74" s="57">
        <v>0</v>
      </c>
      <c r="I74" s="57">
        <v>0</v>
      </c>
      <c r="J74" s="57">
        <v>0</v>
      </c>
      <c r="K74" s="57">
        <v>0</v>
      </c>
      <c r="L74" s="57">
        <v>14</v>
      </c>
      <c r="M74" s="57">
        <v>8</v>
      </c>
      <c r="N74" s="57">
        <v>2</v>
      </c>
      <c r="O74" s="57">
        <v>0</v>
      </c>
      <c r="P74" s="57">
        <v>41</v>
      </c>
      <c r="Q74" s="57">
        <v>44</v>
      </c>
      <c r="R74" s="57">
        <v>0</v>
      </c>
      <c r="S74" s="57">
        <v>1</v>
      </c>
      <c r="T74" s="57">
        <v>5</v>
      </c>
      <c r="U74" s="57">
        <v>11</v>
      </c>
      <c r="V74" s="57">
        <v>0</v>
      </c>
      <c r="W74" s="57">
        <v>0</v>
      </c>
      <c r="X74" s="57">
        <v>0</v>
      </c>
      <c r="Y74" s="57">
        <v>0</v>
      </c>
      <c r="Z74" s="57">
        <v>0</v>
      </c>
      <c r="AA74" s="57">
        <v>0</v>
      </c>
      <c r="AB74" s="57">
        <v>0</v>
      </c>
      <c r="AC74" s="57">
        <v>0</v>
      </c>
      <c r="AD74" s="57">
        <v>0</v>
      </c>
      <c r="AE74" s="132">
        <v>0</v>
      </c>
    </row>
    <row r="75" spans="1:31">
      <c r="A75" s="127" t="s">
        <v>65</v>
      </c>
      <c r="B75" s="7">
        <f t="shared" si="0"/>
        <v>44</v>
      </c>
      <c r="C75" s="89">
        <f t="shared" si="1"/>
        <v>49</v>
      </c>
      <c r="D75" s="57">
        <v>8</v>
      </c>
      <c r="E75" s="57">
        <v>7</v>
      </c>
      <c r="F75" s="57">
        <v>32</v>
      </c>
      <c r="G75" s="57">
        <v>38</v>
      </c>
      <c r="H75" s="57">
        <v>0</v>
      </c>
      <c r="I75" s="57">
        <v>0</v>
      </c>
      <c r="J75" s="57">
        <v>0</v>
      </c>
      <c r="K75" s="57">
        <v>0</v>
      </c>
      <c r="L75" s="57">
        <v>0</v>
      </c>
      <c r="M75" s="57">
        <v>0</v>
      </c>
      <c r="N75" s="57">
        <v>0</v>
      </c>
      <c r="O75" s="57">
        <v>0</v>
      </c>
      <c r="P75" s="57">
        <v>1</v>
      </c>
      <c r="Q75" s="57">
        <v>1</v>
      </c>
      <c r="R75" s="57">
        <v>0</v>
      </c>
      <c r="S75" s="57">
        <v>0</v>
      </c>
      <c r="T75" s="57">
        <v>2</v>
      </c>
      <c r="U75" s="57">
        <v>2</v>
      </c>
      <c r="V75" s="57">
        <v>0</v>
      </c>
      <c r="W75" s="57">
        <v>1</v>
      </c>
      <c r="X75" s="57">
        <v>1</v>
      </c>
      <c r="Y75" s="57">
        <v>0</v>
      </c>
      <c r="Z75" s="57">
        <v>0</v>
      </c>
      <c r="AA75" s="57">
        <v>0</v>
      </c>
      <c r="AB75" s="57">
        <v>0</v>
      </c>
      <c r="AC75" s="57">
        <v>0</v>
      </c>
      <c r="AD75" s="57">
        <v>0</v>
      </c>
      <c r="AE75" s="132">
        <v>0</v>
      </c>
    </row>
    <row r="76" spans="1:31">
      <c r="A76" s="127" t="s">
        <v>236</v>
      </c>
      <c r="B76" s="7">
        <f t="shared" si="0"/>
        <v>23</v>
      </c>
      <c r="C76" s="89">
        <f t="shared" si="1"/>
        <v>22</v>
      </c>
      <c r="D76" s="57">
        <v>5</v>
      </c>
      <c r="E76" s="57">
        <v>6</v>
      </c>
      <c r="F76" s="57">
        <v>17</v>
      </c>
      <c r="G76" s="57">
        <v>15</v>
      </c>
      <c r="H76" s="57">
        <v>0</v>
      </c>
      <c r="I76" s="57">
        <v>0</v>
      </c>
      <c r="J76" s="57">
        <v>0</v>
      </c>
      <c r="K76" s="57">
        <v>0</v>
      </c>
      <c r="L76" s="57">
        <v>0</v>
      </c>
      <c r="M76" s="57">
        <v>0</v>
      </c>
      <c r="N76" s="57">
        <v>0</v>
      </c>
      <c r="O76" s="57">
        <v>0</v>
      </c>
      <c r="P76" s="57">
        <v>1</v>
      </c>
      <c r="Q76" s="57">
        <v>1</v>
      </c>
      <c r="R76" s="57">
        <v>0</v>
      </c>
      <c r="S76" s="57">
        <v>0</v>
      </c>
      <c r="T76" s="57">
        <v>0</v>
      </c>
      <c r="U76" s="57">
        <v>0</v>
      </c>
      <c r="V76" s="57">
        <v>0</v>
      </c>
      <c r="W76" s="57">
        <v>0</v>
      </c>
      <c r="X76" s="57">
        <v>0</v>
      </c>
      <c r="Y76" s="57">
        <v>0</v>
      </c>
      <c r="Z76" s="57">
        <v>0</v>
      </c>
      <c r="AA76" s="57">
        <v>0</v>
      </c>
      <c r="AB76" s="57">
        <v>0</v>
      </c>
      <c r="AC76" s="57">
        <v>0</v>
      </c>
      <c r="AD76" s="57">
        <v>0</v>
      </c>
      <c r="AE76" s="132">
        <v>0</v>
      </c>
    </row>
    <row r="77" spans="1:31">
      <c r="A77" s="127" t="s">
        <v>149</v>
      </c>
      <c r="B77" s="7">
        <f t="shared" si="0"/>
        <v>2382</v>
      </c>
      <c r="C77" s="89">
        <f t="shared" si="1"/>
        <v>2410</v>
      </c>
      <c r="D77" s="57">
        <v>214</v>
      </c>
      <c r="E77" s="57">
        <v>224</v>
      </c>
      <c r="F77" s="57">
        <v>1550</v>
      </c>
      <c r="G77" s="57">
        <v>1554</v>
      </c>
      <c r="H77" s="57">
        <v>0</v>
      </c>
      <c r="I77" s="57">
        <v>0</v>
      </c>
      <c r="J77" s="57">
        <v>2</v>
      </c>
      <c r="K77" s="57">
        <v>1</v>
      </c>
      <c r="L77" s="57">
        <v>11</v>
      </c>
      <c r="M77" s="57">
        <v>19</v>
      </c>
      <c r="N77" s="57">
        <v>0</v>
      </c>
      <c r="O77" s="57">
        <v>0</v>
      </c>
      <c r="P77" s="57">
        <v>168</v>
      </c>
      <c r="Q77" s="57">
        <v>157</v>
      </c>
      <c r="R77" s="57">
        <v>37</v>
      </c>
      <c r="S77" s="57">
        <v>39</v>
      </c>
      <c r="T77" s="57">
        <v>5</v>
      </c>
      <c r="U77" s="57">
        <v>4</v>
      </c>
      <c r="V77" s="57">
        <v>246</v>
      </c>
      <c r="W77" s="57">
        <v>222</v>
      </c>
      <c r="X77" s="57">
        <v>112</v>
      </c>
      <c r="Y77" s="57">
        <v>148</v>
      </c>
      <c r="Z77" s="57">
        <v>20</v>
      </c>
      <c r="AA77" s="57">
        <v>13</v>
      </c>
      <c r="AB77" s="57">
        <v>2</v>
      </c>
      <c r="AC77" s="57">
        <v>9</v>
      </c>
      <c r="AD77" s="57">
        <v>15</v>
      </c>
      <c r="AE77" s="132">
        <v>20</v>
      </c>
    </row>
    <row r="78" spans="1:31">
      <c r="A78" s="127" t="s">
        <v>203</v>
      </c>
      <c r="B78" s="7">
        <f t="shared" ref="B78:B141" si="2">D78+F78+H78+J78+L78+N78+P78+R78+T78+V78+X78+Z78+AB78+AD78</f>
        <v>1601</v>
      </c>
      <c r="C78" s="89">
        <f t="shared" ref="C78:C141" si="3">E78+G78+I78+K78+M78+O78+Q78+S78+U78+W78+Y78+AA78+AC78+AE78</f>
        <v>1604</v>
      </c>
      <c r="D78" s="57">
        <v>117</v>
      </c>
      <c r="E78" s="57">
        <v>134</v>
      </c>
      <c r="F78" s="57">
        <v>1199</v>
      </c>
      <c r="G78" s="57">
        <v>1193</v>
      </c>
      <c r="H78" s="57">
        <v>0</v>
      </c>
      <c r="I78" s="57">
        <v>0</v>
      </c>
      <c r="J78" s="57">
        <v>0</v>
      </c>
      <c r="K78" s="57">
        <v>0</v>
      </c>
      <c r="L78" s="57">
        <v>22</v>
      </c>
      <c r="M78" s="57">
        <v>38</v>
      </c>
      <c r="N78" s="57">
        <v>0</v>
      </c>
      <c r="O78" s="57">
        <v>0</v>
      </c>
      <c r="P78" s="57">
        <v>153</v>
      </c>
      <c r="Q78" s="57">
        <v>149</v>
      </c>
      <c r="R78" s="57">
        <v>23</v>
      </c>
      <c r="S78" s="57">
        <v>23</v>
      </c>
      <c r="T78" s="57">
        <v>77</v>
      </c>
      <c r="U78" s="57">
        <v>65</v>
      </c>
      <c r="V78" s="57">
        <v>4</v>
      </c>
      <c r="W78" s="57">
        <v>1</v>
      </c>
      <c r="X78" s="57">
        <v>1</v>
      </c>
      <c r="Y78" s="57">
        <v>0</v>
      </c>
      <c r="Z78" s="57">
        <v>4</v>
      </c>
      <c r="AA78" s="57">
        <v>1</v>
      </c>
      <c r="AB78" s="57">
        <v>0</v>
      </c>
      <c r="AC78" s="57">
        <v>0</v>
      </c>
      <c r="AD78" s="57">
        <v>1</v>
      </c>
      <c r="AE78" s="132">
        <v>0</v>
      </c>
    </row>
    <row r="79" spans="1:31">
      <c r="A79" s="127" t="s">
        <v>204</v>
      </c>
      <c r="B79" s="7">
        <f t="shared" si="2"/>
        <v>70730</v>
      </c>
      <c r="C79" s="89">
        <f t="shared" si="3"/>
        <v>71796</v>
      </c>
      <c r="D79" s="57">
        <v>2078</v>
      </c>
      <c r="E79" s="57">
        <v>2485</v>
      </c>
      <c r="F79" s="57">
        <v>62265</v>
      </c>
      <c r="G79" s="57">
        <v>63117</v>
      </c>
      <c r="H79" s="57">
        <v>0</v>
      </c>
      <c r="I79" s="57">
        <v>0</v>
      </c>
      <c r="J79" s="57">
        <v>16</v>
      </c>
      <c r="K79" s="57">
        <v>21</v>
      </c>
      <c r="L79" s="57">
        <v>778</v>
      </c>
      <c r="M79" s="57">
        <v>900</v>
      </c>
      <c r="N79" s="57">
        <v>6</v>
      </c>
      <c r="O79" s="57">
        <v>11</v>
      </c>
      <c r="P79" s="57">
        <v>3717</v>
      </c>
      <c r="Q79" s="57">
        <v>3458</v>
      </c>
      <c r="R79" s="57">
        <v>181</v>
      </c>
      <c r="S79" s="57">
        <v>119</v>
      </c>
      <c r="T79" s="57">
        <v>1613</v>
      </c>
      <c r="U79" s="57">
        <v>1619</v>
      </c>
      <c r="V79" s="57">
        <v>4</v>
      </c>
      <c r="W79" s="57">
        <v>1</v>
      </c>
      <c r="X79" s="57">
        <v>16</v>
      </c>
      <c r="Y79" s="57">
        <v>5</v>
      </c>
      <c r="Z79" s="57">
        <v>14</v>
      </c>
      <c r="AA79" s="57">
        <v>28</v>
      </c>
      <c r="AB79" s="57">
        <v>15</v>
      </c>
      <c r="AC79" s="57">
        <v>8</v>
      </c>
      <c r="AD79" s="57">
        <v>27</v>
      </c>
      <c r="AE79" s="132">
        <v>24</v>
      </c>
    </row>
    <row r="80" spans="1:31">
      <c r="A80" s="127" t="s">
        <v>66</v>
      </c>
      <c r="B80" s="7">
        <f t="shared" si="2"/>
        <v>5</v>
      </c>
      <c r="C80" s="89">
        <f t="shared" si="3"/>
        <v>5</v>
      </c>
      <c r="D80" s="57">
        <v>3</v>
      </c>
      <c r="E80" s="57">
        <v>3</v>
      </c>
      <c r="F80" s="57">
        <v>2</v>
      </c>
      <c r="G80" s="57">
        <v>2</v>
      </c>
      <c r="H80" s="57">
        <v>0</v>
      </c>
      <c r="I80" s="57">
        <v>0</v>
      </c>
      <c r="J80" s="57">
        <v>0</v>
      </c>
      <c r="K80" s="57">
        <v>0</v>
      </c>
      <c r="L80" s="57">
        <v>0</v>
      </c>
      <c r="M80" s="57">
        <v>0</v>
      </c>
      <c r="N80" s="57">
        <v>0</v>
      </c>
      <c r="O80" s="57">
        <v>0</v>
      </c>
      <c r="P80" s="57">
        <v>0</v>
      </c>
      <c r="Q80" s="57">
        <v>0</v>
      </c>
      <c r="R80" s="57">
        <v>0</v>
      </c>
      <c r="S80" s="57">
        <v>0</v>
      </c>
      <c r="T80" s="57">
        <v>0</v>
      </c>
      <c r="U80" s="57">
        <v>0</v>
      </c>
      <c r="V80" s="57">
        <v>0</v>
      </c>
      <c r="W80" s="57">
        <v>0</v>
      </c>
      <c r="X80" s="57">
        <v>0</v>
      </c>
      <c r="Y80" s="57">
        <v>0</v>
      </c>
      <c r="Z80" s="57">
        <v>0</v>
      </c>
      <c r="AA80" s="57">
        <v>0</v>
      </c>
      <c r="AB80" s="57">
        <v>0</v>
      </c>
      <c r="AC80" s="57">
        <v>0</v>
      </c>
      <c r="AD80" s="57">
        <v>0</v>
      </c>
      <c r="AE80" s="132">
        <v>0</v>
      </c>
    </row>
    <row r="81" spans="1:31">
      <c r="A81" s="127" t="s">
        <v>366</v>
      </c>
      <c r="B81" s="7">
        <f t="shared" si="2"/>
        <v>11</v>
      </c>
      <c r="C81" s="89">
        <f t="shared" si="3"/>
        <v>11</v>
      </c>
      <c r="D81" s="57">
        <v>1</v>
      </c>
      <c r="E81" s="57">
        <v>1</v>
      </c>
      <c r="F81" s="57">
        <v>10</v>
      </c>
      <c r="G81" s="57">
        <v>10</v>
      </c>
      <c r="H81" s="57">
        <v>0</v>
      </c>
      <c r="I81" s="57">
        <v>0</v>
      </c>
      <c r="J81" s="57">
        <v>0</v>
      </c>
      <c r="K81" s="57">
        <v>0</v>
      </c>
      <c r="L81" s="57">
        <v>0</v>
      </c>
      <c r="M81" s="57">
        <v>0</v>
      </c>
      <c r="N81" s="57">
        <v>0</v>
      </c>
      <c r="O81" s="57">
        <v>0</v>
      </c>
      <c r="P81" s="57">
        <v>0</v>
      </c>
      <c r="Q81" s="57">
        <v>0</v>
      </c>
      <c r="R81" s="57">
        <v>0</v>
      </c>
      <c r="S81" s="57">
        <v>0</v>
      </c>
      <c r="T81" s="57">
        <v>0</v>
      </c>
      <c r="U81" s="57">
        <v>0</v>
      </c>
      <c r="V81" s="57">
        <v>0</v>
      </c>
      <c r="W81" s="57">
        <v>0</v>
      </c>
      <c r="X81" s="57">
        <v>0</v>
      </c>
      <c r="Y81" s="57">
        <v>0</v>
      </c>
      <c r="Z81" s="57">
        <v>0</v>
      </c>
      <c r="AA81" s="57">
        <v>0</v>
      </c>
      <c r="AB81" s="57">
        <v>0</v>
      </c>
      <c r="AC81" s="57">
        <v>0</v>
      </c>
      <c r="AD81" s="57">
        <v>0</v>
      </c>
      <c r="AE81" s="132">
        <v>0</v>
      </c>
    </row>
    <row r="82" spans="1:31">
      <c r="A82" s="127" t="s">
        <v>205</v>
      </c>
      <c r="B82" s="7">
        <f t="shared" si="2"/>
        <v>54</v>
      </c>
      <c r="C82" s="89">
        <f t="shared" si="3"/>
        <v>43</v>
      </c>
      <c r="D82" s="57">
        <v>7</v>
      </c>
      <c r="E82" s="57">
        <v>7</v>
      </c>
      <c r="F82" s="57">
        <v>44</v>
      </c>
      <c r="G82" s="57">
        <v>32</v>
      </c>
      <c r="H82" s="57">
        <v>0</v>
      </c>
      <c r="I82" s="57">
        <v>0</v>
      </c>
      <c r="J82" s="57">
        <v>0</v>
      </c>
      <c r="K82" s="57">
        <v>0</v>
      </c>
      <c r="L82" s="57">
        <v>2</v>
      </c>
      <c r="M82" s="57">
        <v>0</v>
      </c>
      <c r="N82" s="57">
        <v>0</v>
      </c>
      <c r="O82" s="57">
        <v>0</v>
      </c>
      <c r="P82" s="57">
        <v>0</v>
      </c>
      <c r="Q82" s="57">
        <v>3</v>
      </c>
      <c r="R82" s="57">
        <v>0</v>
      </c>
      <c r="S82" s="57">
        <v>0</v>
      </c>
      <c r="T82" s="57">
        <v>0</v>
      </c>
      <c r="U82" s="57">
        <v>1</v>
      </c>
      <c r="V82" s="57">
        <v>0</v>
      </c>
      <c r="W82" s="57">
        <v>0</v>
      </c>
      <c r="X82" s="57">
        <v>1</v>
      </c>
      <c r="Y82" s="57">
        <v>0</v>
      </c>
      <c r="Z82" s="57">
        <v>0</v>
      </c>
      <c r="AA82" s="57">
        <v>0</v>
      </c>
      <c r="AB82" s="57">
        <v>0</v>
      </c>
      <c r="AC82" s="57">
        <v>0</v>
      </c>
      <c r="AD82" s="57">
        <v>0</v>
      </c>
      <c r="AE82" s="132">
        <v>0</v>
      </c>
    </row>
    <row r="83" spans="1:31">
      <c r="A83" s="127" t="s">
        <v>67</v>
      </c>
      <c r="B83" s="7">
        <f t="shared" si="2"/>
        <v>156</v>
      </c>
      <c r="C83" s="89">
        <f t="shared" si="3"/>
        <v>152</v>
      </c>
      <c r="D83" s="57">
        <v>19</v>
      </c>
      <c r="E83" s="57">
        <v>19</v>
      </c>
      <c r="F83" s="57">
        <v>134</v>
      </c>
      <c r="G83" s="57">
        <v>129</v>
      </c>
      <c r="H83" s="57">
        <v>0</v>
      </c>
      <c r="I83" s="57">
        <v>0</v>
      </c>
      <c r="J83" s="57">
        <v>0</v>
      </c>
      <c r="K83" s="57">
        <v>0</v>
      </c>
      <c r="L83" s="57">
        <v>0</v>
      </c>
      <c r="M83" s="57">
        <v>0</v>
      </c>
      <c r="N83" s="57">
        <v>0</v>
      </c>
      <c r="O83" s="57">
        <v>0</v>
      </c>
      <c r="P83" s="57">
        <v>0</v>
      </c>
      <c r="Q83" s="57">
        <v>3</v>
      </c>
      <c r="R83" s="57">
        <v>0</v>
      </c>
      <c r="S83" s="57">
        <v>0</v>
      </c>
      <c r="T83" s="57">
        <v>1</v>
      </c>
      <c r="U83" s="57">
        <v>1</v>
      </c>
      <c r="V83" s="57">
        <v>0</v>
      </c>
      <c r="W83" s="57">
        <v>0</v>
      </c>
      <c r="X83" s="57">
        <v>2</v>
      </c>
      <c r="Y83" s="57">
        <v>0</v>
      </c>
      <c r="Z83" s="57">
        <v>0</v>
      </c>
      <c r="AA83" s="57">
        <v>0</v>
      </c>
      <c r="AB83" s="57">
        <v>0</v>
      </c>
      <c r="AC83" s="57">
        <v>0</v>
      </c>
      <c r="AD83" s="57">
        <v>0</v>
      </c>
      <c r="AE83" s="132">
        <v>0</v>
      </c>
    </row>
    <row r="84" spans="1:31">
      <c r="A84" s="127" t="s">
        <v>119</v>
      </c>
      <c r="B84" s="7">
        <f t="shared" si="2"/>
        <v>33</v>
      </c>
      <c r="C84" s="89">
        <f t="shared" si="3"/>
        <v>33</v>
      </c>
      <c r="D84" s="57">
        <v>2</v>
      </c>
      <c r="E84" s="57">
        <v>2</v>
      </c>
      <c r="F84" s="57">
        <v>29</v>
      </c>
      <c r="G84" s="57">
        <v>29</v>
      </c>
      <c r="H84" s="57">
        <v>0</v>
      </c>
      <c r="I84" s="57">
        <v>0</v>
      </c>
      <c r="J84" s="57">
        <v>0</v>
      </c>
      <c r="K84" s="57">
        <v>0</v>
      </c>
      <c r="L84" s="57">
        <v>2</v>
      </c>
      <c r="M84" s="57">
        <v>2</v>
      </c>
      <c r="N84" s="57">
        <v>0</v>
      </c>
      <c r="O84" s="57">
        <v>0</v>
      </c>
      <c r="P84" s="57">
        <v>0</v>
      </c>
      <c r="Q84" s="57">
        <v>0</v>
      </c>
      <c r="R84" s="57">
        <v>0</v>
      </c>
      <c r="S84" s="57">
        <v>0</v>
      </c>
      <c r="T84" s="57">
        <v>0</v>
      </c>
      <c r="U84" s="57">
        <v>0</v>
      </c>
      <c r="V84" s="57">
        <v>0</v>
      </c>
      <c r="W84" s="57">
        <v>0</v>
      </c>
      <c r="X84" s="57">
        <v>0</v>
      </c>
      <c r="Y84" s="57">
        <v>0</v>
      </c>
      <c r="Z84" s="57">
        <v>0</v>
      </c>
      <c r="AA84" s="57">
        <v>0</v>
      </c>
      <c r="AB84" s="57">
        <v>0</v>
      </c>
      <c r="AC84" s="57">
        <v>0</v>
      </c>
      <c r="AD84" s="57">
        <v>0</v>
      </c>
      <c r="AE84" s="132">
        <v>0</v>
      </c>
    </row>
    <row r="85" spans="1:31">
      <c r="A85" s="127" t="s">
        <v>328</v>
      </c>
      <c r="B85" s="7">
        <f t="shared" si="2"/>
        <v>1332</v>
      </c>
      <c r="C85" s="89">
        <f t="shared" si="3"/>
        <v>1344</v>
      </c>
      <c r="D85" s="57">
        <v>97</v>
      </c>
      <c r="E85" s="57">
        <v>115</v>
      </c>
      <c r="F85" s="57">
        <v>1071</v>
      </c>
      <c r="G85" s="57">
        <v>1120</v>
      </c>
      <c r="H85" s="57">
        <v>0</v>
      </c>
      <c r="I85" s="57">
        <v>0</v>
      </c>
      <c r="J85" s="57">
        <v>0</v>
      </c>
      <c r="K85" s="57">
        <v>0</v>
      </c>
      <c r="L85" s="57">
        <v>1</v>
      </c>
      <c r="M85" s="57">
        <v>16</v>
      </c>
      <c r="N85" s="57">
        <v>0</v>
      </c>
      <c r="O85" s="57">
        <v>0</v>
      </c>
      <c r="P85" s="57">
        <v>60</v>
      </c>
      <c r="Q85" s="57">
        <v>47</v>
      </c>
      <c r="R85" s="57">
        <v>1</v>
      </c>
      <c r="S85" s="57">
        <v>1</v>
      </c>
      <c r="T85" s="57">
        <v>83</v>
      </c>
      <c r="U85" s="57">
        <v>34</v>
      </c>
      <c r="V85" s="57">
        <v>12</v>
      </c>
      <c r="W85" s="57">
        <v>5</v>
      </c>
      <c r="X85" s="57">
        <v>5</v>
      </c>
      <c r="Y85" s="57">
        <v>5</v>
      </c>
      <c r="Z85" s="57">
        <v>1</v>
      </c>
      <c r="AA85" s="57">
        <v>0</v>
      </c>
      <c r="AB85" s="57">
        <v>0</v>
      </c>
      <c r="AC85" s="57">
        <v>0</v>
      </c>
      <c r="AD85" s="57">
        <v>1</v>
      </c>
      <c r="AE85" s="132">
        <v>1</v>
      </c>
    </row>
    <row r="86" spans="1:31">
      <c r="A86" s="127" t="s">
        <v>121</v>
      </c>
      <c r="B86" s="7">
        <f t="shared" si="2"/>
        <v>61135</v>
      </c>
      <c r="C86" s="89">
        <f t="shared" si="3"/>
        <v>61220</v>
      </c>
      <c r="D86" s="57">
        <v>162</v>
      </c>
      <c r="E86" s="57">
        <v>171</v>
      </c>
      <c r="F86" s="57">
        <v>35689</v>
      </c>
      <c r="G86" s="57">
        <v>35766</v>
      </c>
      <c r="H86" s="57">
        <v>0</v>
      </c>
      <c r="I86" s="57">
        <v>0</v>
      </c>
      <c r="J86" s="57">
        <v>67</v>
      </c>
      <c r="K86" s="57">
        <v>75</v>
      </c>
      <c r="L86" s="57">
        <v>3281</v>
      </c>
      <c r="M86" s="57">
        <v>3361</v>
      </c>
      <c r="N86" s="57">
        <v>5</v>
      </c>
      <c r="O86" s="57">
        <v>3</v>
      </c>
      <c r="P86" s="57">
        <v>20915</v>
      </c>
      <c r="Q86" s="57">
        <v>20542</v>
      </c>
      <c r="R86" s="57">
        <v>778</v>
      </c>
      <c r="S86" s="57">
        <v>1075</v>
      </c>
      <c r="T86" s="57">
        <v>228</v>
      </c>
      <c r="U86" s="57">
        <v>214</v>
      </c>
      <c r="V86" s="57">
        <v>1</v>
      </c>
      <c r="W86" s="57">
        <v>0</v>
      </c>
      <c r="X86" s="57">
        <v>0</v>
      </c>
      <c r="Y86" s="57">
        <v>4</v>
      </c>
      <c r="Z86" s="57">
        <v>0</v>
      </c>
      <c r="AA86" s="57">
        <v>0</v>
      </c>
      <c r="AB86" s="57">
        <v>9</v>
      </c>
      <c r="AC86" s="57">
        <v>7</v>
      </c>
      <c r="AD86" s="57">
        <v>0</v>
      </c>
      <c r="AE86" s="132">
        <v>2</v>
      </c>
    </row>
    <row r="87" spans="1:31">
      <c r="A87" s="127" t="s">
        <v>397</v>
      </c>
      <c r="B87" s="7">
        <f t="shared" si="2"/>
        <v>9</v>
      </c>
      <c r="C87" s="89">
        <f t="shared" si="3"/>
        <v>8</v>
      </c>
      <c r="D87" s="57">
        <v>1</v>
      </c>
      <c r="E87" s="57">
        <v>1</v>
      </c>
      <c r="F87" s="57">
        <v>8</v>
      </c>
      <c r="G87" s="57">
        <v>7</v>
      </c>
      <c r="H87" s="57">
        <v>0</v>
      </c>
      <c r="I87" s="57">
        <v>0</v>
      </c>
      <c r="J87" s="57">
        <v>0</v>
      </c>
      <c r="K87" s="57">
        <v>0</v>
      </c>
      <c r="L87" s="57">
        <v>0</v>
      </c>
      <c r="M87" s="57">
        <v>0</v>
      </c>
      <c r="N87" s="57">
        <v>0</v>
      </c>
      <c r="O87" s="57">
        <v>0</v>
      </c>
      <c r="P87" s="57">
        <v>0</v>
      </c>
      <c r="Q87" s="57">
        <v>0</v>
      </c>
      <c r="R87" s="57">
        <v>0</v>
      </c>
      <c r="S87" s="57">
        <v>0</v>
      </c>
      <c r="T87" s="57">
        <v>0</v>
      </c>
      <c r="U87" s="57">
        <v>0</v>
      </c>
      <c r="V87" s="57">
        <v>0</v>
      </c>
      <c r="W87" s="57">
        <v>0</v>
      </c>
      <c r="X87" s="57">
        <v>0</v>
      </c>
      <c r="Y87" s="57">
        <v>0</v>
      </c>
      <c r="Z87" s="57">
        <v>0</v>
      </c>
      <c r="AA87" s="57">
        <v>0</v>
      </c>
      <c r="AB87" s="57">
        <v>0</v>
      </c>
      <c r="AC87" s="57">
        <v>0</v>
      </c>
      <c r="AD87" s="57">
        <v>0</v>
      </c>
      <c r="AE87" s="132">
        <v>0</v>
      </c>
    </row>
    <row r="88" spans="1:31">
      <c r="A88" s="127" t="s">
        <v>68</v>
      </c>
      <c r="B88" s="7">
        <f t="shared" si="2"/>
        <v>17</v>
      </c>
      <c r="C88" s="89">
        <f t="shared" si="3"/>
        <v>5</v>
      </c>
      <c r="D88" s="57">
        <v>0</v>
      </c>
      <c r="E88" s="57">
        <v>0</v>
      </c>
      <c r="F88" s="57">
        <v>17</v>
      </c>
      <c r="G88" s="57">
        <v>5</v>
      </c>
      <c r="H88" s="57">
        <v>0</v>
      </c>
      <c r="I88" s="57">
        <v>0</v>
      </c>
      <c r="J88" s="57">
        <v>0</v>
      </c>
      <c r="K88" s="57">
        <v>0</v>
      </c>
      <c r="L88" s="57">
        <v>0</v>
      </c>
      <c r="M88" s="57">
        <v>0</v>
      </c>
      <c r="N88" s="57">
        <v>0</v>
      </c>
      <c r="O88" s="57">
        <v>0</v>
      </c>
      <c r="P88" s="57">
        <v>0</v>
      </c>
      <c r="Q88" s="57">
        <v>0</v>
      </c>
      <c r="R88" s="57">
        <v>0</v>
      </c>
      <c r="S88" s="57">
        <v>0</v>
      </c>
      <c r="T88" s="57">
        <v>0</v>
      </c>
      <c r="U88" s="57">
        <v>0</v>
      </c>
      <c r="V88" s="57">
        <v>0</v>
      </c>
      <c r="W88" s="57">
        <v>0</v>
      </c>
      <c r="X88" s="57">
        <v>0</v>
      </c>
      <c r="Y88" s="57">
        <v>0</v>
      </c>
      <c r="Z88" s="57">
        <v>0</v>
      </c>
      <c r="AA88" s="57">
        <v>0</v>
      </c>
      <c r="AB88" s="57">
        <v>0</v>
      </c>
      <c r="AC88" s="57">
        <v>0</v>
      </c>
      <c r="AD88" s="57">
        <v>0</v>
      </c>
      <c r="AE88" s="132">
        <v>0</v>
      </c>
    </row>
    <row r="89" spans="1:31">
      <c r="A89" s="127" t="s">
        <v>69</v>
      </c>
      <c r="B89" s="7">
        <f t="shared" si="2"/>
        <v>12</v>
      </c>
      <c r="C89" s="89">
        <f t="shared" si="3"/>
        <v>12</v>
      </c>
      <c r="D89" s="57">
        <v>2</v>
      </c>
      <c r="E89" s="57">
        <v>2</v>
      </c>
      <c r="F89" s="57">
        <v>5</v>
      </c>
      <c r="G89" s="57">
        <v>6</v>
      </c>
      <c r="H89" s="57">
        <v>0</v>
      </c>
      <c r="I89" s="57">
        <v>0</v>
      </c>
      <c r="J89" s="57">
        <v>0</v>
      </c>
      <c r="K89" s="57">
        <v>0</v>
      </c>
      <c r="L89" s="57">
        <v>0</v>
      </c>
      <c r="M89" s="57">
        <v>0</v>
      </c>
      <c r="N89" s="57">
        <v>0</v>
      </c>
      <c r="O89" s="57">
        <v>0</v>
      </c>
      <c r="P89" s="57">
        <v>2</v>
      </c>
      <c r="Q89" s="57">
        <v>2</v>
      </c>
      <c r="R89" s="57">
        <v>2</v>
      </c>
      <c r="S89" s="57">
        <v>2</v>
      </c>
      <c r="T89" s="57">
        <v>0</v>
      </c>
      <c r="U89" s="57">
        <v>0</v>
      </c>
      <c r="V89" s="57">
        <v>0</v>
      </c>
      <c r="W89" s="57">
        <v>0</v>
      </c>
      <c r="X89" s="57">
        <v>0</v>
      </c>
      <c r="Y89" s="57">
        <v>0</v>
      </c>
      <c r="Z89" s="57">
        <v>1</v>
      </c>
      <c r="AA89" s="57">
        <v>0</v>
      </c>
      <c r="AB89" s="57">
        <v>0</v>
      </c>
      <c r="AC89" s="57">
        <v>0</v>
      </c>
      <c r="AD89" s="57">
        <v>0</v>
      </c>
      <c r="AE89" s="132">
        <v>0</v>
      </c>
    </row>
    <row r="90" spans="1:31">
      <c r="A90" s="127" t="s">
        <v>122</v>
      </c>
      <c r="B90" s="7">
        <f t="shared" si="2"/>
        <v>238</v>
      </c>
      <c r="C90" s="89">
        <f t="shared" si="3"/>
        <v>199</v>
      </c>
      <c r="D90" s="57">
        <v>57</v>
      </c>
      <c r="E90" s="57">
        <v>55</v>
      </c>
      <c r="F90" s="57">
        <v>158</v>
      </c>
      <c r="G90" s="57">
        <v>123</v>
      </c>
      <c r="H90" s="57">
        <v>0</v>
      </c>
      <c r="I90" s="57">
        <v>0</v>
      </c>
      <c r="J90" s="57">
        <v>0</v>
      </c>
      <c r="K90" s="57">
        <v>0</v>
      </c>
      <c r="L90" s="57">
        <v>13</v>
      </c>
      <c r="M90" s="57">
        <v>7</v>
      </c>
      <c r="N90" s="57">
        <v>0</v>
      </c>
      <c r="O90" s="57">
        <v>0</v>
      </c>
      <c r="P90" s="57">
        <v>6</v>
      </c>
      <c r="Q90" s="57">
        <v>10</v>
      </c>
      <c r="R90" s="57">
        <v>0</v>
      </c>
      <c r="S90" s="57">
        <v>0</v>
      </c>
      <c r="T90" s="57">
        <v>3</v>
      </c>
      <c r="U90" s="57">
        <v>4</v>
      </c>
      <c r="V90" s="57">
        <v>0</v>
      </c>
      <c r="W90" s="57">
        <v>0</v>
      </c>
      <c r="X90" s="57">
        <v>1</v>
      </c>
      <c r="Y90" s="57">
        <v>0</v>
      </c>
      <c r="Z90" s="57">
        <v>0</v>
      </c>
      <c r="AA90" s="57">
        <v>0</v>
      </c>
      <c r="AB90" s="57">
        <v>0</v>
      </c>
      <c r="AC90" s="57">
        <v>0</v>
      </c>
      <c r="AD90" s="57">
        <v>0</v>
      </c>
      <c r="AE90" s="132">
        <v>0</v>
      </c>
    </row>
    <row r="91" spans="1:31">
      <c r="A91" s="127" t="s">
        <v>123</v>
      </c>
      <c r="B91" s="7">
        <f t="shared" si="2"/>
        <v>432</v>
      </c>
      <c r="C91" s="89">
        <f t="shared" si="3"/>
        <v>436</v>
      </c>
      <c r="D91" s="57">
        <v>88</v>
      </c>
      <c r="E91" s="57">
        <v>87</v>
      </c>
      <c r="F91" s="57">
        <v>333</v>
      </c>
      <c r="G91" s="57">
        <v>339</v>
      </c>
      <c r="H91" s="57">
        <v>0</v>
      </c>
      <c r="I91" s="57">
        <v>0</v>
      </c>
      <c r="J91" s="57">
        <v>0</v>
      </c>
      <c r="K91" s="57">
        <v>0</v>
      </c>
      <c r="L91" s="57">
        <v>1</v>
      </c>
      <c r="M91" s="57">
        <v>0</v>
      </c>
      <c r="N91" s="57">
        <v>0</v>
      </c>
      <c r="O91" s="57">
        <v>0</v>
      </c>
      <c r="P91" s="57">
        <v>8</v>
      </c>
      <c r="Q91" s="57">
        <v>8</v>
      </c>
      <c r="R91" s="57">
        <v>1</v>
      </c>
      <c r="S91" s="57">
        <v>1</v>
      </c>
      <c r="T91" s="57">
        <v>1</v>
      </c>
      <c r="U91" s="57">
        <v>1</v>
      </c>
      <c r="V91" s="57">
        <v>0</v>
      </c>
      <c r="W91" s="57">
        <v>0</v>
      </c>
      <c r="X91" s="57">
        <v>0</v>
      </c>
      <c r="Y91" s="57">
        <v>0</v>
      </c>
      <c r="Z91" s="57">
        <v>0</v>
      </c>
      <c r="AA91" s="57">
        <v>0</v>
      </c>
      <c r="AB91" s="57">
        <v>0</v>
      </c>
      <c r="AC91" s="57">
        <v>0</v>
      </c>
      <c r="AD91" s="57">
        <v>0</v>
      </c>
      <c r="AE91" s="132">
        <v>0</v>
      </c>
    </row>
    <row r="92" spans="1:31">
      <c r="A92" s="127" t="s">
        <v>219</v>
      </c>
      <c r="B92" s="7">
        <f t="shared" si="2"/>
        <v>38042</v>
      </c>
      <c r="C92" s="89">
        <f t="shared" si="3"/>
        <v>37920</v>
      </c>
      <c r="D92" s="57">
        <v>2512</v>
      </c>
      <c r="E92" s="57">
        <v>3392</v>
      </c>
      <c r="F92" s="57">
        <v>29309</v>
      </c>
      <c r="G92" s="57">
        <v>28340</v>
      </c>
      <c r="H92" s="57">
        <v>4</v>
      </c>
      <c r="I92" s="57">
        <v>0</v>
      </c>
      <c r="J92" s="57">
        <v>4</v>
      </c>
      <c r="K92" s="57">
        <v>12</v>
      </c>
      <c r="L92" s="57">
        <v>574</v>
      </c>
      <c r="M92" s="57">
        <v>698</v>
      </c>
      <c r="N92" s="57">
        <v>4</v>
      </c>
      <c r="O92" s="57">
        <v>7</v>
      </c>
      <c r="P92" s="57">
        <v>3092</v>
      </c>
      <c r="Q92" s="57">
        <v>3133</v>
      </c>
      <c r="R92" s="57">
        <v>104</v>
      </c>
      <c r="S92" s="57">
        <v>72</v>
      </c>
      <c r="T92" s="57">
        <v>2387</v>
      </c>
      <c r="U92" s="57">
        <v>2210</v>
      </c>
      <c r="V92" s="57">
        <v>7</v>
      </c>
      <c r="W92" s="57">
        <v>4</v>
      </c>
      <c r="X92" s="57">
        <v>5</v>
      </c>
      <c r="Y92" s="57">
        <v>2</v>
      </c>
      <c r="Z92" s="57">
        <v>22</v>
      </c>
      <c r="AA92" s="57">
        <v>20</v>
      </c>
      <c r="AB92" s="57">
        <v>1</v>
      </c>
      <c r="AC92" s="57">
        <v>2</v>
      </c>
      <c r="AD92" s="57">
        <v>17</v>
      </c>
      <c r="AE92" s="132">
        <v>28</v>
      </c>
    </row>
    <row r="93" spans="1:31">
      <c r="A93" s="127" t="s">
        <v>124</v>
      </c>
      <c r="B93" s="7">
        <f t="shared" si="2"/>
        <v>32304</v>
      </c>
      <c r="C93" s="89">
        <f t="shared" si="3"/>
        <v>32597</v>
      </c>
      <c r="D93" s="57">
        <v>105</v>
      </c>
      <c r="E93" s="57">
        <v>99</v>
      </c>
      <c r="F93" s="57">
        <v>14951</v>
      </c>
      <c r="G93" s="57">
        <v>15265</v>
      </c>
      <c r="H93" s="57">
        <v>0</v>
      </c>
      <c r="I93" s="57">
        <v>0</v>
      </c>
      <c r="J93" s="57">
        <v>17</v>
      </c>
      <c r="K93" s="57">
        <v>21</v>
      </c>
      <c r="L93" s="57">
        <v>2050</v>
      </c>
      <c r="M93" s="57">
        <v>1998</v>
      </c>
      <c r="N93" s="57">
        <v>8</v>
      </c>
      <c r="O93" s="57">
        <v>7</v>
      </c>
      <c r="P93" s="57">
        <v>14648</v>
      </c>
      <c r="Q93" s="57">
        <v>14486</v>
      </c>
      <c r="R93" s="57">
        <v>225</v>
      </c>
      <c r="S93" s="57">
        <v>403</v>
      </c>
      <c r="T93" s="57">
        <v>294</v>
      </c>
      <c r="U93" s="57">
        <v>308</v>
      </c>
      <c r="V93" s="57">
        <v>3</v>
      </c>
      <c r="W93" s="57">
        <v>7</v>
      </c>
      <c r="X93" s="57">
        <v>2</v>
      </c>
      <c r="Y93" s="57">
        <v>0</v>
      </c>
      <c r="Z93" s="57">
        <v>1</v>
      </c>
      <c r="AA93" s="57">
        <v>0</v>
      </c>
      <c r="AB93" s="57">
        <v>0</v>
      </c>
      <c r="AC93" s="57">
        <v>0</v>
      </c>
      <c r="AD93" s="57">
        <v>0</v>
      </c>
      <c r="AE93" s="132">
        <v>3</v>
      </c>
    </row>
    <row r="94" spans="1:31">
      <c r="A94" s="127" t="s">
        <v>206</v>
      </c>
      <c r="B94" s="7">
        <f t="shared" si="2"/>
        <v>2387</v>
      </c>
      <c r="C94" s="89">
        <f t="shared" si="3"/>
        <v>2378</v>
      </c>
      <c r="D94" s="57">
        <v>188</v>
      </c>
      <c r="E94" s="57">
        <v>242</v>
      </c>
      <c r="F94" s="57">
        <v>1990</v>
      </c>
      <c r="G94" s="57">
        <v>1920</v>
      </c>
      <c r="H94" s="57">
        <v>0</v>
      </c>
      <c r="I94" s="57">
        <v>0</v>
      </c>
      <c r="J94" s="57">
        <v>0</v>
      </c>
      <c r="K94" s="57">
        <v>0</v>
      </c>
      <c r="L94" s="57">
        <v>52</v>
      </c>
      <c r="M94" s="57">
        <v>34</v>
      </c>
      <c r="N94" s="57">
        <v>9</v>
      </c>
      <c r="O94" s="57">
        <v>4</v>
      </c>
      <c r="P94" s="57">
        <v>102</v>
      </c>
      <c r="Q94" s="57">
        <v>115</v>
      </c>
      <c r="R94" s="57">
        <v>0</v>
      </c>
      <c r="S94" s="57">
        <v>0</v>
      </c>
      <c r="T94" s="57">
        <v>45</v>
      </c>
      <c r="U94" s="57">
        <v>56</v>
      </c>
      <c r="V94" s="57">
        <v>0</v>
      </c>
      <c r="W94" s="57">
        <v>1</v>
      </c>
      <c r="X94" s="57">
        <v>1</v>
      </c>
      <c r="Y94" s="57">
        <v>1</v>
      </c>
      <c r="Z94" s="57">
        <v>0</v>
      </c>
      <c r="AA94" s="57">
        <v>5</v>
      </c>
      <c r="AB94" s="57">
        <v>0</v>
      </c>
      <c r="AC94" s="57">
        <v>0</v>
      </c>
      <c r="AD94" s="57">
        <v>0</v>
      </c>
      <c r="AE94" s="132">
        <v>0</v>
      </c>
    </row>
    <row r="95" spans="1:31">
      <c r="A95" s="127" t="s">
        <v>33</v>
      </c>
      <c r="B95" s="7">
        <f t="shared" si="2"/>
        <v>7629</v>
      </c>
      <c r="C95" s="89">
        <f t="shared" si="3"/>
        <v>7414</v>
      </c>
      <c r="D95" s="57">
        <v>1396</v>
      </c>
      <c r="E95" s="57">
        <v>1429</v>
      </c>
      <c r="F95" s="57">
        <v>5920</v>
      </c>
      <c r="G95" s="57">
        <v>5718</v>
      </c>
      <c r="H95" s="57">
        <v>0</v>
      </c>
      <c r="I95" s="57">
        <v>0</v>
      </c>
      <c r="J95" s="57">
        <v>0</v>
      </c>
      <c r="K95" s="57">
        <v>1</v>
      </c>
      <c r="L95" s="57">
        <v>64</v>
      </c>
      <c r="M95" s="57">
        <v>35</v>
      </c>
      <c r="N95" s="57">
        <v>0</v>
      </c>
      <c r="O95" s="57">
        <v>0</v>
      </c>
      <c r="P95" s="57">
        <v>108</v>
      </c>
      <c r="Q95" s="57">
        <v>96</v>
      </c>
      <c r="R95" s="57">
        <v>6</v>
      </c>
      <c r="S95" s="57">
        <v>5</v>
      </c>
      <c r="T95" s="57">
        <v>41</v>
      </c>
      <c r="U95" s="57">
        <v>45</v>
      </c>
      <c r="V95" s="57">
        <v>43</v>
      </c>
      <c r="W95" s="57">
        <v>31</v>
      </c>
      <c r="X95" s="57">
        <v>48</v>
      </c>
      <c r="Y95" s="57">
        <v>49</v>
      </c>
      <c r="Z95" s="57">
        <v>1</v>
      </c>
      <c r="AA95" s="57">
        <v>2</v>
      </c>
      <c r="AB95" s="57">
        <v>0</v>
      </c>
      <c r="AC95" s="57">
        <v>2</v>
      </c>
      <c r="AD95" s="57">
        <v>2</v>
      </c>
      <c r="AE95" s="132">
        <v>1</v>
      </c>
    </row>
    <row r="96" spans="1:31">
      <c r="A96" s="127" t="s">
        <v>152</v>
      </c>
      <c r="B96" s="7">
        <f t="shared" si="2"/>
        <v>268</v>
      </c>
      <c r="C96" s="89">
        <f t="shared" si="3"/>
        <v>261</v>
      </c>
      <c r="D96" s="57">
        <v>29</v>
      </c>
      <c r="E96" s="57">
        <v>30</v>
      </c>
      <c r="F96" s="57">
        <v>194</v>
      </c>
      <c r="G96" s="57">
        <v>205</v>
      </c>
      <c r="H96" s="57">
        <v>0</v>
      </c>
      <c r="I96" s="57">
        <v>0</v>
      </c>
      <c r="J96" s="57">
        <v>0</v>
      </c>
      <c r="K96" s="57">
        <v>0</v>
      </c>
      <c r="L96" s="57">
        <v>7</v>
      </c>
      <c r="M96" s="57">
        <v>7</v>
      </c>
      <c r="N96" s="57">
        <v>0</v>
      </c>
      <c r="O96" s="57">
        <v>0</v>
      </c>
      <c r="P96" s="57">
        <v>5</v>
      </c>
      <c r="Q96" s="57">
        <v>5</v>
      </c>
      <c r="R96" s="57">
        <v>0</v>
      </c>
      <c r="S96" s="57">
        <v>0</v>
      </c>
      <c r="T96" s="57">
        <v>1</v>
      </c>
      <c r="U96" s="57">
        <v>1</v>
      </c>
      <c r="V96" s="57">
        <v>8</v>
      </c>
      <c r="W96" s="57">
        <v>1</v>
      </c>
      <c r="X96" s="57">
        <v>21</v>
      </c>
      <c r="Y96" s="57">
        <v>7</v>
      </c>
      <c r="Z96" s="57">
        <v>0</v>
      </c>
      <c r="AA96" s="57">
        <v>0</v>
      </c>
      <c r="AB96" s="57">
        <v>0</v>
      </c>
      <c r="AC96" s="57">
        <v>0</v>
      </c>
      <c r="AD96" s="57">
        <v>3</v>
      </c>
      <c r="AE96" s="132">
        <v>5</v>
      </c>
    </row>
    <row r="97" spans="1:31">
      <c r="A97" s="127" t="s">
        <v>367</v>
      </c>
      <c r="B97" s="7">
        <f t="shared" si="2"/>
        <v>19</v>
      </c>
      <c r="C97" s="89">
        <f t="shared" si="3"/>
        <v>17</v>
      </c>
      <c r="D97" s="57">
        <v>1</v>
      </c>
      <c r="E97" s="57">
        <v>1</v>
      </c>
      <c r="F97" s="57">
        <v>17</v>
      </c>
      <c r="G97" s="57">
        <v>15</v>
      </c>
      <c r="H97" s="57">
        <v>0</v>
      </c>
      <c r="I97" s="57">
        <v>0</v>
      </c>
      <c r="J97" s="57">
        <v>0</v>
      </c>
      <c r="K97" s="57">
        <v>0</v>
      </c>
      <c r="L97" s="57">
        <v>0</v>
      </c>
      <c r="M97" s="57">
        <v>0</v>
      </c>
      <c r="N97" s="57">
        <v>0</v>
      </c>
      <c r="O97" s="57">
        <v>0</v>
      </c>
      <c r="P97" s="57">
        <v>1</v>
      </c>
      <c r="Q97" s="57">
        <v>1</v>
      </c>
      <c r="R97" s="57">
        <v>0</v>
      </c>
      <c r="S97" s="57">
        <v>0</v>
      </c>
      <c r="T97" s="57">
        <v>0</v>
      </c>
      <c r="U97" s="57">
        <v>0</v>
      </c>
      <c r="V97" s="57">
        <v>0</v>
      </c>
      <c r="W97" s="57">
        <v>0</v>
      </c>
      <c r="X97" s="57">
        <v>0</v>
      </c>
      <c r="Y97" s="57">
        <v>0</v>
      </c>
      <c r="Z97" s="57">
        <v>0</v>
      </c>
      <c r="AA97" s="57">
        <v>0</v>
      </c>
      <c r="AB97" s="57">
        <v>0</v>
      </c>
      <c r="AC97" s="57">
        <v>0</v>
      </c>
      <c r="AD97" s="57">
        <v>0</v>
      </c>
      <c r="AE97" s="132">
        <v>0</v>
      </c>
    </row>
    <row r="98" spans="1:31">
      <c r="A98" s="127" t="s">
        <v>153</v>
      </c>
      <c r="B98" s="7">
        <f t="shared" si="2"/>
        <v>292</v>
      </c>
      <c r="C98" s="89">
        <f t="shared" si="3"/>
        <v>294</v>
      </c>
      <c r="D98" s="57">
        <v>57</v>
      </c>
      <c r="E98" s="57">
        <v>61</v>
      </c>
      <c r="F98" s="57">
        <v>224</v>
      </c>
      <c r="G98" s="57">
        <v>225</v>
      </c>
      <c r="H98" s="57">
        <v>0</v>
      </c>
      <c r="I98" s="57">
        <v>0</v>
      </c>
      <c r="J98" s="57">
        <v>0</v>
      </c>
      <c r="K98" s="57">
        <v>0</v>
      </c>
      <c r="L98" s="57">
        <v>0</v>
      </c>
      <c r="M98" s="57">
        <v>0</v>
      </c>
      <c r="N98" s="57">
        <v>0</v>
      </c>
      <c r="O98" s="57">
        <v>0</v>
      </c>
      <c r="P98" s="57">
        <v>6</v>
      </c>
      <c r="Q98" s="57">
        <v>7</v>
      </c>
      <c r="R98" s="57">
        <v>0</v>
      </c>
      <c r="S98" s="57">
        <v>0</v>
      </c>
      <c r="T98" s="57">
        <v>5</v>
      </c>
      <c r="U98" s="57">
        <v>1</v>
      </c>
      <c r="V98" s="57">
        <v>0</v>
      </c>
      <c r="W98" s="57">
        <v>0</v>
      </c>
      <c r="X98" s="57">
        <v>0</v>
      </c>
      <c r="Y98" s="57">
        <v>0</v>
      </c>
      <c r="Z98" s="57">
        <v>0</v>
      </c>
      <c r="AA98" s="57">
        <v>0</v>
      </c>
      <c r="AB98" s="57">
        <v>0</v>
      </c>
      <c r="AC98" s="57">
        <v>0</v>
      </c>
      <c r="AD98" s="57">
        <v>0</v>
      </c>
      <c r="AE98" s="132">
        <v>0</v>
      </c>
    </row>
    <row r="99" spans="1:31">
      <c r="A99" s="127" t="s">
        <v>207</v>
      </c>
      <c r="B99" s="7">
        <f t="shared" si="2"/>
        <v>5257</v>
      </c>
      <c r="C99" s="89">
        <f t="shared" si="3"/>
        <v>5222</v>
      </c>
      <c r="D99" s="57">
        <v>610</v>
      </c>
      <c r="E99" s="57">
        <v>678</v>
      </c>
      <c r="F99" s="57">
        <v>3731</v>
      </c>
      <c r="G99" s="57">
        <v>3778</v>
      </c>
      <c r="H99" s="57">
        <v>0</v>
      </c>
      <c r="I99" s="57">
        <v>0</v>
      </c>
      <c r="J99" s="57">
        <v>0</v>
      </c>
      <c r="K99" s="57">
        <v>0</v>
      </c>
      <c r="L99" s="57">
        <v>62</v>
      </c>
      <c r="M99" s="57">
        <v>88</v>
      </c>
      <c r="N99" s="57">
        <v>1</v>
      </c>
      <c r="O99" s="57">
        <v>1</v>
      </c>
      <c r="P99" s="57">
        <v>612</v>
      </c>
      <c r="Q99" s="57">
        <v>378</v>
      </c>
      <c r="R99" s="57">
        <v>4</v>
      </c>
      <c r="S99" s="57">
        <v>10</v>
      </c>
      <c r="T99" s="57">
        <v>212</v>
      </c>
      <c r="U99" s="57">
        <v>265</v>
      </c>
      <c r="V99" s="57">
        <v>7</v>
      </c>
      <c r="W99" s="57">
        <v>3</v>
      </c>
      <c r="X99" s="57">
        <v>1</v>
      </c>
      <c r="Y99" s="57">
        <v>3</v>
      </c>
      <c r="Z99" s="57">
        <v>8</v>
      </c>
      <c r="AA99" s="57">
        <v>10</v>
      </c>
      <c r="AB99" s="57">
        <v>1</v>
      </c>
      <c r="AC99" s="57">
        <v>0</v>
      </c>
      <c r="AD99" s="57">
        <v>8</v>
      </c>
      <c r="AE99" s="132">
        <v>8</v>
      </c>
    </row>
    <row r="100" spans="1:31">
      <c r="A100" s="127" t="s">
        <v>368</v>
      </c>
      <c r="B100" s="7">
        <f t="shared" si="2"/>
        <v>1</v>
      </c>
      <c r="C100" s="89">
        <f t="shared" si="3"/>
        <v>1</v>
      </c>
      <c r="D100" s="57">
        <v>0</v>
      </c>
      <c r="E100" s="57">
        <v>0</v>
      </c>
      <c r="F100" s="57">
        <v>0</v>
      </c>
      <c r="G100" s="57">
        <v>0</v>
      </c>
      <c r="H100" s="57">
        <v>0</v>
      </c>
      <c r="I100" s="57">
        <v>0</v>
      </c>
      <c r="J100" s="57">
        <v>0</v>
      </c>
      <c r="K100" s="57">
        <v>0</v>
      </c>
      <c r="L100" s="57">
        <v>1</v>
      </c>
      <c r="M100" s="57">
        <v>1</v>
      </c>
      <c r="N100" s="57">
        <v>0</v>
      </c>
      <c r="O100" s="57">
        <v>0</v>
      </c>
      <c r="P100" s="57">
        <v>0</v>
      </c>
      <c r="Q100" s="57">
        <v>0</v>
      </c>
      <c r="R100" s="57">
        <v>0</v>
      </c>
      <c r="S100" s="57">
        <v>0</v>
      </c>
      <c r="T100" s="57">
        <v>0</v>
      </c>
      <c r="U100" s="57">
        <v>0</v>
      </c>
      <c r="V100" s="57">
        <v>0</v>
      </c>
      <c r="W100" s="57">
        <v>0</v>
      </c>
      <c r="X100" s="57">
        <v>0</v>
      </c>
      <c r="Y100" s="57">
        <v>0</v>
      </c>
      <c r="Z100" s="57">
        <v>0</v>
      </c>
      <c r="AA100" s="57">
        <v>0</v>
      </c>
      <c r="AB100" s="57">
        <v>0</v>
      </c>
      <c r="AC100" s="57">
        <v>0</v>
      </c>
      <c r="AD100" s="57">
        <v>0</v>
      </c>
      <c r="AE100" s="132">
        <v>0</v>
      </c>
    </row>
    <row r="101" spans="1:31">
      <c r="A101" s="127" t="s">
        <v>208</v>
      </c>
      <c r="B101" s="7">
        <f t="shared" si="2"/>
        <v>327</v>
      </c>
      <c r="C101" s="89">
        <f t="shared" si="3"/>
        <v>321</v>
      </c>
      <c r="D101" s="57">
        <v>51</v>
      </c>
      <c r="E101" s="57">
        <v>57</v>
      </c>
      <c r="F101" s="57">
        <v>256</v>
      </c>
      <c r="G101" s="57">
        <v>249</v>
      </c>
      <c r="H101" s="57">
        <v>0</v>
      </c>
      <c r="I101" s="57">
        <v>0</v>
      </c>
      <c r="J101" s="57">
        <v>0</v>
      </c>
      <c r="K101" s="57">
        <v>0</v>
      </c>
      <c r="L101" s="57">
        <v>1</v>
      </c>
      <c r="M101" s="57">
        <v>2</v>
      </c>
      <c r="N101" s="57">
        <v>0</v>
      </c>
      <c r="O101" s="57">
        <v>0</v>
      </c>
      <c r="P101" s="57">
        <v>7</v>
      </c>
      <c r="Q101" s="57">
        <v>4</v>
      </c>
      <c r="R101" s="57">
        <v>1</v>
      </c>
      <c r="S101" s="57">
        <v>1</v>
      </c>
      <c r="T101" s="57">
        <v>10</v>
      </c>
      <c r="U101" s="57">
        <v>7</v>
      </c>
      <c r="V101" s="57">
        <v>0</v>
      </c>
      <c r="W101" s="57">
        <v>0</v>
      </c>
      <c r="X101" s="57">
        <v>0</v>
      </c>
      <c r="Y101" s="57">
        <v>0</v>
      </c>
      <c r="Z101" s="57">
        <v>1</v>
      </c>
      <c r="AA101" s="57">
        <v>1</v>
      </c>
      <c r="AB101" s="57">
        <v>0</v>
      </c>
      <c r="AC101" s="57">
        <v>0</v>
      </c>
      <c r="AD101" s="57">
        <v>0</v>
      </c>
      <c r="AE101" s="132">
        <v>0</v>
      </c>
    </row>
    <row r="102" spans="1:31">
      <c r="A102" s="127" t="s">
        <v>125</v>
      </c>
      <c r="B102" s="7">
        <f t="shared" si="2"/>
        <v>22</v>
      </c>
      <c r="C102" s="89">
        <f t="shared" si="3"/>
        <v>18</v>
      </c>
      <c r="D102" s="57">
        <v>3</v>
      </c>
      <c r="E102" s="57">
        <v>3</v>
      </c>
      <c r="F102" s="57">
        <v>19</v>
      </c>
      <c r="G102" s="57">
        <v>15</v>
      </c>
      <c r="H102" s="57">
        <v>0</v>
      </c>
      <c r="I102" s="57">
        <v>0</v>
      </c>
      <c r="J102" s="57">
        <v>0</v>
      </c>
      <c r="K102" s="57">
        <v>0</v>
      </c>
      <c r="L102" s="57">
        <v>0</v>
      </c>
      <c r="M102" s="57">
        <v>0</v>
      </c>
      <c r="N102" s="57">
        <v>0</v>
      </c>
      <c r="O102" s="57">
        <v>0</v>
      </c>
      <c r="P102" s="57">
        <v>0</v>
      </c>
      <c r="Q102" s="57">
        <v>0</v>
      </c>
      <c r="R102" s="57">
        <v>0</v>
      </c>
      <c r="S102" s="57">
        <v>0</v>
      </c>
      <c r="T102" s="57">
        <v>0</v>
      </c>
      <c r="U102" s="57">
        <v>0</v>
      </c>
      <c r="V102" s="57">
        <v>0</v>
      </c>
      <c r="W102" s="57">
        <v>0</v>
      </c>
      <c r="X102" s="57">
        <v>0</v>
      </c>
      <c r="Y102" s="57">
        <v>0</v>
      </c>
      <c r="Z102" s="57">
        <v>0</v>
      </c>
      <c r="AA102" s="57">
        <v>0</v>
      </c>
      <c r="AB102" s="57">
        <v>0</v>
      </c>
      <c r="AC102" s="57">
        <v>0</v>
      </c>
      <c r="AD102" s="57">
        <v>0</v>
      </c>
      <c r="AE102" s="132">
        <v>0</v>
      </c>
    </row>
    <row r="103" spans="1:31">
      <c r="A103" s="127" t="s">
        <v>369</v>
      </c>
      <c r="B103" s="7">
        <f t="shared" si="2"/>
        <v>2</v>
      </c>
      <c r="C103" s="89">
        <f t="shared" si="3"/>
        <v>2</v>
      </c>
      <c r="D103" s="57">
        <v>0</v>
      </c>
      <c r="E103" s="57">
        <v>0</v>
      </c>
      <c r="F103" s="57">
        <v>2</v>
      </c>
      <c r="G103" s="57">
        <v>2</v>
      </c>
      <c r="H103" s="57">
        <v>0</v>
      </c>
      <c r="I103" s="57">
        <v>0</v>
      </c>
      <c r="J103" s="57">
        <v>0</v>
      </c>
      <c r="K103" s="57">
        <v>0</v>
      </c>
      <c r="L103" s="57">
        <v>0</v>
      </c>
      <c r="M103" s="57">
        <v>0</v>
      </c>
      <c r="N103" s="57">
        <v>0</v>
      </c>
      <c r="O103" s="57">
        <v>0</v>
      </c>
      <c r="P103" s="57">
        <v>0</v>
      </c>
      <c r="Q103" s="57">
        <v>0</v>
      </c>
      <c r="R103" s="57">
        <v>0</v>
      </c>
      <c r="S103" s="57">
        <v>0</v>
      </c>
      <c r="T103" s="57">
        <v>0</v>
      </c>
      <c r="U103" s="57">
        <v>0</v>
      </c>
      <c r="V103" s="57">
        <v>0</v>
      </c>
      <c r="W103" s="57">
        <v>0</v>
      </c>
      <c r="X103" s="57">
        <v>0</v>
      </c>
      <c r="Y103" s="57">
        <v>0</v>
      </c>
      <c r="Z103" s="57">
        <v>0</v>
      </c>
      <c r="AA103" s="57">
        <v>0</v>
      </c>
      <c r="AB103" s="57">
        <v>0</v>
      </c>
      <c r="AC103" s="57">
        <v>0</v>
      </c>
      <c r="AD103" s="57">
        <v>0</v>
      </c>
      <c r="AE103" s="132">
        <v>0</v>
      </c>
    </row>
    <row r="104" spans="1:31">
      <c r="A104" s="127" t="s">
        <v>370</v>
      </c>
      <c r="B104" s="7">
        <f t="shared" si="2"/>
        <v>3</v>
      </c>
      <c r="C104" s="89">
        <f t="shared" si="3"/>
        <v>3</v>
      </c>
      <c r="D104" s="57">
        <v>0</v>
      </c>
      <c r="E104" s="57">
        <v>0</v>
      </c>
      <c r="F104" s="57">
        <v>3</v>
      </c>
      <c r="G104" s="57">
        <v>3</v>
      </c>
      <c r="H104" s="57">
        <v>0</v>
      </c>
      <c r="I104" s="57">
        <v>0</v>
      </c>
      <c r="J104" s="57">
        <v>0</v>
      </c>
      <c r="K104" s="57">
        <v>0</v>
      </c>
      <c r="L104" s="57">
        <v>0</v>
      </c>
      <c r="M104" s="57">
        <v>0</v>
      </c>
      <c r="N104" s="57">
        <v>0</v>
      </c>
      <c r="O104" s="57">
        <v>0</v>
      </c>
      <c r="P104" s="57">
        <v>0</v>
      </c>
      <c r="Q104" s="57">
        <v>0</v>
      </c>
      <c r="R104" s="57">
        <v>0</v>
      </c>
      <c r="S104" s="57">
        <v>0</v>
      </c>
      <c r="T104" s="57">
        <v>0</v>
      </c>
      <c r="U104" s="57">
        <v>0</v>
      </c>
      <c r="V104" s="57">
        <v>0</v>
      </c>
      <c r="W104" s="57">
        <v>0</v>
      </c>
      <c r="X104" s="57">
        <v>0</v>
      </c>
      <c r="Y104" s="57">
        <v>0</v>
      </c>
      <c r="Z104" s="57">
        <v>0</v>
      </c>
      <c r="AA104" s="57">
        <v>0</v>
      </c>
      <c r="AB104" s="57">
        <v>0</v>
      </c>
      <c r="AC104" s="57">
        <v>0</v>
      </c>
      <c r="AD104" s="57">
        <v>0</v>
      </c>
      <c r="AE104" s="132">
        <v>0</v>
      </c>
    </row>
    <row r="105" spans="1:31">
      <c r="A105" s="127" t="s">
        <v>371</v>
      </c>
      <c r="B105" s="7">
        <f t="shared" si="2"/>
        <v>1</v>
      </c>
      <c r="C105" s="89">
        <f t="shared" si="3"/>
        <v>0</v>
      </c>
      <c r="D105" s="57">
        <v>0</v>
      </c>
      <c r="E105" s="57">
        <v>0</v>
      </c>
      <c r="F105" s="57">
        <v>1</v>
      </c>
      <c r="G105" s="57">
        <v>0</v>
      </c>
      <c r="H105" s="57">
        <v>0</v>
      </c>
      <c r="I105" s="57">
        <v>0</v>
      </c>
      <c r="J105" s="57">
        <v>0</v>
      </c>
      <c r="K105" s="57">
        <v>0</v>
      </c>
      <c r="L105" s="57">
        <v>0</v>
      </c>
      <c r="M105" s="57">
        <v>0</v>
      </c>
      <c r="N105" s="57">
        <v>0</v>
      </c>
      <c r="O105" s="57">
        <v>0</v>
      </c>
      <c r="P105" s="57">
        <v>0</v>
      </c>
      <c r="Q105" s="57">
        <v>0</v>
      </c>
      <c r="R105" s="57">
        <v>0</v>
      </c>
      <c r="S105" s="57">
        <v>0</v>
      </c>
      <c r="T105" s="57">
        <v>0</v>
      </c>
      <c r="U105" s="57">
        <v>0</v>
      </c>
      <c r="V105" s="57">
        <v>0</v>
      </c>
      <c r="W105" s="57">
        <v>0</v>
      </c>
      <c r="X105" s="57">
        <v>0</v>
      </c>
      <c r="Y105" s="57">
        <v>0</v>
      </c>
      <c r="Z105" s="57">
        <v>0</v>
      </c>
      <c r="AA105" s="57">
        <v>0</v>
      </c>
      <c r="AB105" s="57">
        <v>0</v>
      </c>
      <c r="AC105" s="57">
        <v>0</v>
      </c>
      <c r="AD105" s="57">
        <v>0</v>
      </c>
      <c r="AE105" s="132">
        <v>0</v>
      </c>
    </row>
    <row r="106" spans="1:31">
      <c r="A106" s="127" t="s">
        <v>155</v>
      </c>
      <c r="B106" s="7">
        <f t="shared" si="2"/>
        <v>20361</v>
      </c>
      <c r="C106" s="89">
        <f t="shared" si="3"/>
        <v>20343</v>
      </c>
      <c r="D106" s="57">
        <v>898</v>
      </c>
      <c r="E106" s="57">
        <v>789</v>
      </c>
      <c r="F106" s="57">
        <v>15042</v>
      </c>
      <c r="G106" s="57">
        <v>15818</v>
      </c>
      <c r="H106" s="57">
        <v>0</v>
      </c>
      <c r="I106" s="57">
        <v>0</v>
      </c>
      <c r="J106" s="57">
        <v>9</v>
      </c>
      <c r="K106" s="57">
        <v>1</v>
      </c>
      <c r="L106" s="57">
        <v>275</v>
      </c>
      <c r="M106" s="57">
        <v>267</v>
      </c>
      <c r="N106" s="57">
        <v>5</v>
      </c>
      <c r="O106" s="57">
        <v>1</v>
      </c>
      <c r="P106" s="57">
        <v>2601</v>
      </c>
      <c r="Q106" s="57">
        <v>2667</v>
      </c>
      <c r="R106" s="57">
        <v>17</v>
      </c>
      <c r="S106" s="57">
        <v>25</v>
      </c>
      <c r="T106" s="57">
        <v>1507</v>
      </c>
      <c r="U106" s="57">
        <v>767</v>
      </c>
      <c r="V106" s="57">
        <v>0</v>
      </c>
      <c r="W106" s="57">
        <v>0</v>
      </c>
      <c r="X106" s="57">
        <v>6</v>
      </c>
      <c r="Y106" s="57">
        <v>7</v>
      </c>
      <c r="Z106" s="57">
        <v>0</v>
      </c>
      <c r="AA106" s="57">
        <v>0</v>
      </c>
      <c r="AB106" s="57">
        <v>0</v>
      </c>
      <c r="AC106" s="57">
        <v>0</v>
      </c>
      <c r="AD106" s="57">
        <v>1</v>
      </c>
      <c r="AE106" s="132">
        <v>1</v>
      </c>
    </row>
    <row r="107" spans="1:31">
      <c r="A107" s="127" t="s">
        <v>209</v>
      </c>
      <c r="B107" s="7">
        <f t="shared" si="2"/>
        <v>23134</v>
      </c>
      <c r="C107" s="89">
        <f t="shared" si="3"/>
        <v>23001</v>
      </c>
      <c r="D107" s="57">
        <v>1646</v>
      </c>
      <c r="E107" s="57">
        <v>1530</v>
      </c>
      <c r="F107" s="57">
        <v>18432</v>
      </c>
      <c r="G107" s="57">
        <v>18463</v>
      </c>
      <c r="H107" s="57">
        <v>0</v>
      </c>
      <c r="I107" s="57">
        <v>0</v>
      </c>
      <c r="J107" s="57">
        <v>16</v>
      </c>
      <c r="K107" s="57">
        <v>14</v>
      </c>
      <c r="L107" s="57">
        <v>378</v>
      </c>
      <c r="M107" s="57">
        <v>374</v>
      </c>
      <c r="N107" s="57">
        <v>23</v>
      </c>
      <c r="O107" s="57">
        <v>35</v>
      </c>
      <c r="P107" s="57">
        <v>1864</v>
      </c>
      <c r="Q107" s="57">
        <v>1873</v>
      </c>
      <c r="R107" s="57">
        <v>65</v>
      </c>
      <c r="S107" s="57">
        <v>59</v>
      </c>
      <c r="T107" s="57">
        <v>627</v>
      </c>
      <c r="U107" s="57">
        <v>594</v>
      </c>
      <c r="V107" s="57">
        <v>25</v>
      </c>
      <c r="W107" s="57">
        <v>9</v>
      </c>
      <c r="X107" s="57">
        <v>32</v>
      </c>
      <c r="Y107" s="57">
        <v>10</v>
      </c>
      <c r="Z107" s="57">
        <v>7</v>
      </c>
      <c r="AA107" s="57">
        <v>6</v>
      </c>
      <c r="AB107" s="57">
        <v>6</v>
      </c>
      <c r="AC107" s="57">
        <v>2</v>
      </c>
      <c r="AD107" s="57">
        <v>13</v>
      </c>
      <c r="AE107" s="132">
        <v>32</v>
      </c>
    </row>
    <row r="108" spans="1:31">
      <c r="A108" s="127" t="s">
        <v>126</v>
      </c>
      <c r="B108" s="7">
        <f t="shared" si="2"/>
        <v>990</v>
      </c>
      <c r="C108" s="89">
        <f t="shared" si="3"/>
        <v>1055</v>
      </c>
      <c r="D108" s="57">
        <v>181</v>
      </c>
      <c r="E108" s="57">
        <v>189</v>
      </c>
      <c r="F108" s="57">
        <v>773</v>
      </c>
      <c r="G108" s="57">
        <v>824</v>
      </c>
      <c r="H108" s="57">
        <v>0</v>
      </c>
      <c r="I108" s="57">
        <v>0</v>
      </c>
      <c r="J108" s="57">
        <v>0</v>
      </c>
      <c r="K108" s="57">
        <v>0</v>
      </c>
      <c r="L108" s="57">
        <v>2</v>
      </c>
      <c r="M108" s="57">
        <v>4</v>
      </c>
      <c r="N108" s="57">
        <v>0</v>
      </c>
      <c r="O108" s="57">
        <v>0</v>
      </c>
      <c r="P108" s="57">
        <v>6</v>
      </c>
      <c r="Q108" s="57">
        <v>7</v>
      </c>
      <c r="R108" s="57">
        <v>0</v>
      </c>
      <c r="S108" s="57">
        <v>0</v>
      </c>
      <c r="T108" s="57">
        <v>23</v>
      </c>
      <c r="U108" s="57">
        <v>25</v>
      </c>
      <c r="V108" s="57">
        <v>1</v>
      </c>
      <c r="W108" s="57">
        <v>2</v>
      </c>
      <c r="X108" s="57">
        <v>2</v>
      </c>
      <c r="Y108" s="57">
        <v>1</v>
      </c>
      <c r="Z108" s="57">
        <v>1</v>
      </c>
      <c r="AA108" s="57">
        <v>2</v>
      </c>
      <c r="AB108" s="57">
        <v>0</v>
      </c>
      <c r="AC108" s="57">
        <v>0</v>
      </c>
      <c r="AD108" s="57">
        <v>1</v>
      </c>
      <c r="AE108" s="132">
        <v>1</v>
      </c>
    </row>
    <row r="109" spans="1:31">
      <c r="A109" s="127" t="s">
        <v>156</v>
      </c>
      <c r="B109" s="7">
        <f t="shared" si="2"/>
        <v>2753</v>
      </c>
      <c r="C109" s="89">
        <f t="shared" si="3"/>
        <v>2703</v>
      </c>
      <c r="D109" s="57">
        <v>328</v>
      </c>
      <c r="E109" s="57">
        <v>351</v>
      </c>
      <c r="F109" s="57">
        <v>2243</v>
      </c>
      <c r="G109" s="57">
        <v>2181</v>
      </c>
      <c r="H109" s="57">
        <v>0</v>
      </c>
      <c r="I109" s="57">
        <v>0</v>
      </c>
      <c r="J109" s="57">
        <v>0</v>
      </c>
      <c r="K109" s="57">
        <v>0</v>
      </c>
      <c r="L109" s="57">
        <v>27</v>
      </c>
      <c r="M109" s="57">
        <v>46</v>
      </c>
      <c r="N109" s="57">
        <v>0</v>
      </c>
      <c r="O109" s="57">
        <v>1</v>
      </c>
      <c r="P109" s="57">
        <v>126</v>
      </c>
      <c r="Q109" s="57">
        <v>91</v>
      </c>
      <c r="R109" s="57">
        <v>10</v>
      </c>
      <c r="S109" s="57">
        <v>6</v>
      </c>
      <c r="T109" s="57">
        <v>17</v>
      </c>
      <c r="U109" s="57">
        <v>25</v>
      </c>
      <c r="V109" s="57">
        <v>0</v>
      </c>
      <c r="W109" s="57">
        <v>0</v>
      </c>
      <c r="X109" s="57">
        <v>2</v>
      </c>
      <c r="Y109" s="57">
        <v>1</v>
      </c>
      <c r="Z109" s="57">
        <v>0</v>
      </c>
      <c r="AA109" s="57">
        <v>0</v>
      </c>
      <c r="AB109" s="57">
        <v>0</v>
      </c>
      <c r="AC109" s="57">
        <v>0</v>
      </c>
      <c r="AD109" s="57">
        <v>0</v>
      </c>
      <c r="AE109" s="132">
        <v>1</v>
      </c>
    </row>
    <row r="110" spans="1:31">
      <c r="A110" s="127" t="s">
        <v>157</v>
      </c>
      <c r="B110" s="7">
        <f t="shared" si="2"/>
        <v>110</v>
      </c>
      <c r="C110" s="89">
        <f t="shared" si="3"/>
        <v>113</v>
      </c>
      <c r="D110" s="57">
        <v>18</v>
      </c>
      <c r="E110" s="57">
        <v>20</v>
      </c>
      <c r="F110" s="57">
        <v>90</v>
      </c>
      <c r="G110" s="57">
        <v>90</v>
      </c>
      <c r="H110" s="57">
        <v>0</v>
      </c>
      <c r="I110" s="57">
        <v>0</v>
      </c>
      <c r="J110" s="57">
        <v>0</v>
      </c>
      <c r="K110" s="57">
        <v>0</v>
      </c>
      <c r="L110" s="57">
        <v>0</v>
      </c>
      <c r="M110" s="57">
        <v>0</v>
      </c>
      <c r="N110" s="57">
        <v>0</v>
      </c>
      <c r="O110" s="57">
        <v>0</v>
      </c>
      <c r="P110" s="57">
        <v>2</v>
      </c>
      <c r="Q110" s="57">
        <v>1</v>
      </c>
      <c r="R110" s="57">
        <v>0</v>
      </c>
      <c r="S110" s="57">
        <v>0</v>
      </c>
      <c r="T110" s="57">
        <v>0</v>
      </c>
      <c r="U110" s="57">
        <v>2</v>
      </c>
      <c r="V110" s="57">
        <v>0</v>
      </c>
      <c r="W110" s="57">
        <v>0</v>
      </c>
      <c r="X110" s="57">
        <v>0</v>
      </c>
      <c r="Y110" s="57">
        <v>0</v>
      </c>
      <c r="Z110" s="57">
        <v>0</v>
      </c>
      <c r="AA110" s="57">
        <v>0</v>
      </c>
      <c r="AB110" s="57">
        <v>0</v>
      </c>
      <c r="AC110" s="57">
        <v>0</v>
      </c>
      <c r="AD110" s="57">
        <v>0</v>
      </c>
      <c r="AE110" s="132">
        <v>0</v>
      </c>
    </row>
    <row r="111" spans="1:31">
      <c r="A111" s="127" t="s">
        <v>158</v>
      </c>
      <c r="B111" s="7">
        <f t="shared" si="2"/>
        <v>760</v>
      </c>
      <c r="C111" s="89">
        <f t="shared" si="3"/>
        <v>276</v>
      </c>
      <c r="D111" s="57">
        <v>24</v>
      </c>
      <c r="E111" s="57">
        <v>23</v>
      </c>
      <c r="F111" s="57">
        <v>716</v>
      </c>
      <c r="G111" s="57">
        <v>203</v>
      </c>
      <c r="H111" s="57">
        <v>0</v>
      </c>
      <c r="I111" s="57">
        <v>0</v>
      </c>
      <c r="J111" s="57">
        <v>0</v>
      </c>
      <c r="K111" s="57">
        <v>0</v>
      </c>
      <c r="L111" s="57">
        <v>0</v>
      </c>
      <c r="M111" s="57">
        <v>0</v>
      </c>
      <c r="N111" s="57">
        <v>0</v>
      </c>
      <c r="O111" s="57">
        <v>0</v>
      </c>
      <c r="P111" s="57">
        <v>19</v>
      </c>
      <c r="Q111" s="57">
        <v>32</v>
      </c>
      <c r="R111" s="57">
        <v>1</v>
      </c>
      <c r="S111" s="57">
        <v>17</v>
      </c>
      <c r="T111" s="57">
        <v>0</v>
      </c>
      <c r="U111" s="57">
        <v>0</v>
      </c>
      <c r="V111" s="57">
        <v>0</v>
      </c>
      <c r="W111" s="57">
        <v>1</v>
      </c>
      <c r="X111" s="57">
        <v>0</v>
      </c>
      <c r="Y111" s="57">
        <v>0</v>
      </c>
      <c r="Z111" s="57">
        <v>0</v>
      </c>
      <c r="AA111" s="57">
        <v>0</v>
      </c>
      <c r="AB111" s="57">
        <v>0</v>
      </c>
      <c r="AC111" s="57">
        <v>0</v>
      </c>
      <c r="AD111" s="57">
        <v>0</v>
      </c>
      <c r="AE111" s="132">
        <v>0</v>
      </c>
    </row>
    <row r="112" spans="1:31">
      <c r="A112" s="127" t="s">
        <v>70</v>
      </c>
      <c r="B112" s="7">
        <f t="shared" si="2"/>
        <v>173</v>
      </c>
      <c r="C112" s="89">
        <f t="shared" si="3"/>
        <v>185</v>
      </c>
      <c r="D112" s="57">
        <v>19</v>
      </c>
      <c r="E112" s="57">
        <v>20</v>
      </c>
      <c r="F112" s="57">
        <v>150</v>
      </c>
      <c r="G112" s="57">
        <v>159</v>
      </c>
      <c r="H112" s="57">
        <v>0</v>
      </c>
      <c r="I112" s="57">
        <v>0</v>
      </c>
      <c r="J112" s="57">
        <v>0</v>
      </c>
      <c r="K112" s="57">
        <v>0</v>
      </c>
      <c r="L112" s="57">
        <v>1</v>
      </c>
      <c r="M112" s="57">
        <v>1</v>
      </c>
      <c r="N112" s="57">
        <v>0</v>
      </c>
      <c r="O112" s="57">
        <v>0</v>
      </c>
      <c r="P112" s="57">
        <v>2</v>
      </c>
      <c r="Q112" s="57">
        <v>2</v>
      </c>
      <c r="R112" s="57">
        <v>0</v>
      </c>
      <c r="S112" s="57">
        <v>0</v>
      </c>
      <c r="T112" s="57">
        <v>1</v>
      </c>
      <c r="U112" s="57">
        <v>2</v>
      </c>
      <c r="V112" s="57">
        <v>0</v>
      </c>
      <c r="W112" s="57">
        <v>0</v>
      </c>
      <c r="X112" s="57">
        <v>0</v>
      </c>
      <c r="Y112" s="57">
        <v>1</v>
      </c>
      <c r="Z112" s="57">
        <v>0</v>
      </c>
      <c r="AA112" s="57">
        <v>0</v>
      </c>
      <c r="AB112" s="57">
        <v>0</v>
      </c>
      <c r="AC112" s="57">
        <v>0</v>
      </c>
      <c r="AD112" s="57">
        <v>0</v>
      </c>
      <c r="AE112" s="132">
        <v>0</v>
      </c>
    </row>
    <row r="113" spans="1:31">
      <c r="A113" s="127" t="s">
        <v>372</v>
      </c>
      <c r="B113" s="7">
        <f t="shared" si="2"/>
        <v>45</v>
      </c>
      <c r="C113" s="89">
        <f t="shared" si="3"/>
        <v>43</v>
      </c>
      <c r="D113" s="57">
        <v>5</v>
      </c>
      <c r="E113" s="57">
        <v>4</v>
      </c>
      <c r="F113" s="57">
        <v>40</v>
      </c>
      <c r="G113" s="57">
        <v>39</v>
      </c>
      <c r="H113" s="57">
        <v>0</v>
      </c>
      <c r="I113" s="57">
        <v>0</v>
      </c>
      <c r="J113" s="57">
        <v>0</v>
      </c>
      <c r="K113" s="57">
        <v>0</v>
      </c>
      <c r="L113" s="57">
        <v>0</v>
      </c>
      <c r="M113" s="57">
        <v>0</v>
      </c>
      <c r="N113" s="57">
        <v>0</v>
      </c>
      <c r="O113" s="57">
        <v>0</v>
      </c>
      <c r="P113" s="57">
        <v>0</v>
      </c>
      <c r="Q113" s="57">
        <v>0</v>
      </c>
      <c r="R113" s="57">
        <v>0</v>
      </c>
      <c r="S113" s="57">
        <v>0</v>
      </c>
      <c r="T113" s="57">
        <v>0</v>
      </c>
      <c r="U113" s="57">
        <v>0</v>
      </c>
      <c r="V113" s="57">
        <v>0</v>
      </c>
      <c r="W113" s="57">
        <v>0</v>
      </c>
      <c r="X113" s="57">
        <v>0</v>
      </c>
      <c r="Y113" s="57">
        <v>0</v>
      </c>
      <c r="Z113" s="57">
        <v>0</v>
      </c>
      <c r="AA113" s="57">
        <v>0</v>
      </c>
      <c r="AB113" s="57">
        <v>0</v>
      </c>
      <c r="AC113" s="57">
        <v>0</v>
      </c>
      <c r="AD113" s="57">
        <v>0</v>
      </c>
      <c r="AE113" s="132">
        <v>0</v>
      </c>
    </row>
    <row r="114" spans="1:31">
      <c r="A114" s="127" t="s">
        <v>160</v>
      </c>
      <c r="B114" s="7">
        <f t="shared" si="2"/>
        <v>84</v>
      </c>
      <c r="C114" s="89">
        <f t="shared" si="3"/>
        <v>88</v>
      </c>
      <c r="D114" s="57">
        <v>7</v>
      </c>
      <c r="E114" s="57">
        <v>9</v>
      </c>
      <c r="F114" s="57">
        <v>76</v>
      </c>
      <c r="G114" s="57">
        <v>76</v>
      </c>
      <c r="H114" s="57">
        <v>0</v>
      </c>
      <c r="I114" s="57">
        <v>0</v>
      </c>
      <c r="J114" s="57">
        <v>0</v>
      </c>
      <c r="K114" s="57">
        <v>0</v>
      </c>
      <c r="L114" s="57">
        <v>0</v>
      </c>
      <c r="M114" s="57">
        <v>0</v>
      </c>
      <c r="N114" s="57">
        <v>0</v>
      </c>
      <c r="O114" s="57">
        <v>0</v>
      </c>
      <c r="P114" s="57">
        <v>1</v>
      </c>
      <c r="Q114" s="57">
        <v>2</v>
      </c>
      <c r="R114" s="57">
        <v>0</v>
      </c>
      <c r="S114" s="57">
        <v>0</v>
      </c>
      <c r="T114" s="57">
        <v>0</v>
      </c>
      <c r="U114" s="57">
        <v>1</v>
      </c>
      <c r="V114" s="57">
        <v>0</v>
      </c>
      <c r="W114" s="57">
        <v>0</v>
      </c>
      <c r="X114" s="57">
        <v>0</v>
      </c>
      <c r="Y114" s="57">
        <v>0</v>
      </c>
      <c r="Z114" s="57">
        <v>0</v>
      </c>
      <c r="AA114" s="57">
        <v>0</v>
      </c>
      <c r="AB114" s="57">
        <v>0</v>
      </c>
      <c r="AC114" s="57">
        <v>0</v>
      </c>
      <c r="AD114" s="57">
        <v>0</v>
      </c>
      <c r="AE114" s="132">
        <v>0</v>
      </c>
    </row>
    <row r="115" spans="1:31">
      <c r="A115" s="127" t="s">
        <v>373</v>
      </c>
      <c r="B115" s="7">
        <f t="shared" si="2"/>
        <v>182</v>
      </c>
      <c r="C115" s="89">
        <f t="shared" si="3"/>
        <v>111</v>
      </c>
      <c r="D115" s="57">
        <v>2</v>
      </c>
      <c r="E115" s="57">
        <v>2</v>
      </c>
      <c r="F115" s="57">
        <v>180</v>
      </c>
      <c r="G115" s="57">
        <v>41</v>
      </c>
      <c r="H115" s="57">
        <v>0</v>
      </c>
      <c r="I115" s="57">
        <v>0</v>
      </c>
      <c r="J115" s="57">
        <v>0</v>
      </c>
      <c r="K115" s="57">
        <v>0</v>
      </c>
      <c r="L115" s="57">
        <v>0</v>
      </c>
      <c r="M115" s="57">
        <v>0</v>
      </c>
      <c r="N115" s="57">
        <v>0</v>
      </c>
      <c r="O115" s="57">
        <v>0</v>
      </c>
      <c r="P115" s="57">
        <v>0</v>
      </c>
      <c r="Q115" s="57">
        <v>36</v>
      </c>
      <c r="R115" s="57">
        <v>0</v>
      </c>
      <c r="S115" s="57">
        <v>32</v>
      </c>
      <c r="T115" s="57">
        <v>0</v>
      </c>
      <c r="U115" s="57">
        <v>0</v>
      </c>
      <c r="V115" s="57">
        <v>0</v>
      </c>
      <c r="W115" s="57">
        <v>0</v>
      </c>
      <c r="X115" s="57">
        <v>0</v>
      </c>
      <c r="Y115" s="57">
        <v>0</v>
      </c>
      <c r="Z115" s="57">
        <v>0</v>
      </c>
      <c r="AA115" s="57">
        <v>0</v>
      </c>
      <c r="AB115" s="57">
        <v>0</v>
      </c>
      <c r="AC115" s="57">
        <v>0</v>
      </c>
      <c r="AD115" s="57">
        <v>0</v>
      </c>
      <c r="AE115" s="132">
        <v>0</v>
      </c>
    </row>
    <row r="116" spans="1:31">
      <c r="A116" s="127" t="s">
        <v>71</v>
      </c>
      <c r="B116" s="7">
        <f t="shared" si="2"/>
        <v>3</v>
      </c>
      <c r="C116" s="89">
        <f t="shared" si="3"/>
        <v>4</v>
      </c>
      <c r="D116" s="57">
        <v>0</v>
      </c>
      <c r="E116" s="57">
        <v>1</v>
      </c>
      <c r="F116" s="57">
        <v>3</v>
      </c>
      <c r="G116" s="57">
        <v>3</v>
      </c>
      <c r="H116" s="57">
        <v>0</v>
      </c>
      <c r="I116" s="57">
        <v>0</v>
      </c>
      <c r="J116" s="57">
        <v>0</v>
      </c>
      <c r="K116" s="57">
        <v>0</v>
      </c>
      <c r="L116" s="57">
        <v>0</v>
      </c>
      <c r="M116" s="57">
        <v>0</v>
      </c>
      <c r="N116" s="57">
        <v>0</v>
      </c>
      <c r="O116" s="57">
        <v>0</v>
      </c>
      <c r="P116" s="57">
        <v>0</v>
      </c>
      <c r="Q116" s="57">
        <v>0</v>
      </c>
      <c r="R116" s="57">
        <v>0</v>
      </c>
      <c r="S116" s="57">
        <v>0</v>
      </c>
      <c r="T116" s="57">
        <v>0</v>
      </c>
      <c r="U116" s="57">
        <v>0</v>
      </c>
      <c r="V116" s="57">
        <v>0</v>
      </c>
      <c r="W116" s="57">
        <v>0</v>
      </c>
      <c r="X116" s="57">
        <v>0</v>
      </c>
      <c r="Y116" s="57">
        <v>0</v>
      </c>
      <c r="Z116" s="57">
        <v>0</v>
      </c>
      <c r="AA116" s="57">
        <v>0</v>
      </c>
      <c r="AB116" s="57">
        <v>0</v>
      </c>
      <c r="AC116" s="57">
        <v>0</v>
      </c>
      <c r="AD116" s="57">
        <v>0</v>
      </c>
      <c r="AE116" s="132">
        <v>0</v>
      </c>
    </row>
    <row r="117" spans="1:31">
      <c r="A117" s="127" t="s">
        <v>398</v>
      </c>
      <c r="B117" s="7">
        <f t="shared" si="2"/>
        <v>535</v>
      </c>
      <c r="C117" s="89">
        <f t="shared" si="3"/>
        <v>543</v>
      </c>
      <c r="D117" s="57">
        <v>67</v>
      </c>
      <c r="E117" s="57">
        <v>69</v>
      </c>
      <c r="F117" s="57">
        <v>412</v>
      </c>
      <c r="G117" s="57">
        <v>374</v>
      </c>
      <c r="H117" s="57">
        <v>0</v>
      </c>
      <c r="I117" s="57">
        <v>0</v>
      </c>
      <c r="J117" s="57">
        <v>0</v>
      </c>
      <c r="K117" s="57">
        <v>0</v>
      </c>
      <c r="L117" s="57">
        <v>2</v>
      </c>
      <c r="M117" s="57">
        <v>2</v>
      </c>
      <c r="N117" s="57">
        <v>0</v>
      </c>
      <c r="O117" s="57">
        <v>0</v>
      </c>
      <c r="P117" s="57">
        <v>34</v>
      </c>
      <c r="Q117" s="57">
        <v>74</v>
      </c>
      <c r="R117" s="57">
        <v>7</v>
      </c>
      <c r="S117" s="57">
        <v>9</v>
      </c>
      <c r="T117" s="57">
        <v>5</v>
      </c>
      <c r="U117" s="57">
        <v>7</v>
      </c>
      <c r="V117" s="57">
        <v>7</v>
      </c>
      <c r="W117" s="57">
        <v>7</v>
      </c>
      <c r="X117" s="57">
        <v>0</v>
      </c>
      <c r="Y117" s="57">
        <v>0</v>
      </c>
      <c r="Z117" s="57">
        <v>1</v>
      </c>
      <c r="AA117" s="57">
        <v>0</v>
      </c>
      <c r="AB117" s="57">
        <v>0</v>
      </c>
      <c r="AC117" s="57">
        <v>1</v>
      </c>
      <c r="AD117" s="57">
        <v>0</v>
      </c>
      <c r="AE117" s="132">
        <v>0</v>
      </c>
    </row>
    <row r="118" spans="1:31">
      <c r="A118" s="127" t="s">
        <v>161</v>
      </c>
      <c r="B118" s="7">
        <f t="shared" si="2"/>
        <v>197</v>
      </c>
      <c r="C118" s="89">
        <f t="shared" si="3"/>
        <v>191</v>
      </c>
      <c r="D118" s="57">
        <v>55</v>
      </c>
      <c r="E118" s="57">
        <v>53</v>
      </c>
      <c r="F118" s="57">
        <v>139</v>
      </c>
      <c r="G118" s="57">
        <v>136</v>
      </c>
      <c r="H118" s="57">
        <v>0</v>
      </c>
      <c r="I118" s="57">
        <v>0</v>
      </c>
      <c r="J118" s="57">
        <v>0</v>
      </c>
      <c r="K118" s="57">
        <v>0</v>
      </c>
      <c r="L118" s="57">
        <v>2</v>
      </c>
      <c r="M118" s="57">
        <v>2</v>
      </c>
      <c r="N118" s="57">
        <v>0</v>
      </c>
      <c r="O118" s="57">
        <v>0</v>
      </c>
      <c r="P118" s="57">
        <v>0</v>
      </c>
      <c r="Q118" s="57">
        <v>0</v>
      </c>
      <c r="R118" s="57">
        <v>0</v>
      </c>
      <c r="S118" s="57">
        <v>0</v>
      </c>
      <c r="T118" s="57">
        <v>1</v>
      </c>
      <c r="U118" s="57">
        <v>0</v>
      </c>
      <c r="V118" s="57">
        <v>0</v>
      </c>
      <c r="W118" s="57">
        <v>0</v>
      </c>
      <c r="X118" s="57">
        <v>0</v>
      </c>
      <c r="Y118" s="57">
        <v>0</v>
      </c>
      <c r="Z118" s="57">
        <v>0</v>
      </c>
      <c r="AA118" s="57">
        <v>0</v>
      </c>
      <c r="AB118" s="57">
        <v>0</v>
      </c>
      <c r="AC118" s="57">
        <v>0</v>
      </c>
      <c r="AD118" s="57">
        <v>0</v>
      </c>
      <c r="AE118" s="132">
        <v>0</v>
      </c>
    </row>
    <row r="119" spans="1:31">
      <c r="A119" s="127" t="s">
        <v>73</v>
      </c>
      <c r="B119" s="7">
        <f t="shared" si="2"/>
        <v>26</v>
      </c>
      <c r="C119" s="89">
        <f t="shared" si="3"/>
        <v>25</v>
      </c>
      <c r="D119" s="57">
        <v>10</v>
      </c>
      <c r="E119" s="57">
        <v>10</v>
      </c>
      <c r="F119" s="57">
        <v>15</v>
      </c>
      <c r="G119" s="57">
        <v>14</v>
      </c>
      <c r="H119" s="57">
        <v>0</v>
      </c>
      <c r="I119" s="57">
        <v>0</v>
      </c>
      <c r="J119" s="57">
        <v>0</v>
      </c>
      <c r="K119" s="57">
        <v>0</v>
      </c>
      <c r="L119" s="57">
        <v>0</v>
      </c>
      <c r="M119" s="57">
        <v>0</v>
      </c>
      <c r="N119" s="57">
        <v>0</v>
      </c>
      <c r="O119" s="57">
        <v>0</v>
      </c>
      <c r="P119" s="57">
        <v>0</v>
      </c>
      <c r="Q119" s="57">
        <v>0</v>
      </c>
      <c r="R119" s="57">
        <v>0</v>
      </c>
      <c r="S119" s="57">
        <v>0</v>
      </c>
      <c r="T119" s="57">
        <v>1</v>
      </c>
      <c r="U119" s="57">
        <v>1</v>
      </c>
      <c r="V119" s="57">
        <v>0</v>
      </c>
      <c r="W119" s="57">
        <v>0</v>
      </c>
      <c r="X119" s="57">
        <v>0</v>
      </c>
      <c r="Y119" s="57">
        <v>0</v>
      </c>
      <c r="Z119" s="57">
        <v>0</v>
      </c>
      <c r="AA119" s="57">
        <v>0</v>
      </c>
      <c r="AB119" s="57">
        <v>0</v>
      </c>
      <c r="AC119" s="57">
        <v>0</v>
      </c>
      <c r="AD119" s="57">
        <v>0</v>
      </c>
      <c r="AE119" s="132">
        <v>0</v>
      </c>
    </row>
    <row r="120" spans="1:31">
      <c r="A120" s="127" t="s">
        <v>74</v>
      </c>
      <c r="B120" s="7">
        <f t="shared" si="2"/>
        <v>4</v>
      </c>
      <c r="C120" s="89">
        <f t="shared" si="3"/>
        <v>4</v>
      </c>
      <c r="D120" s="57">
        <v>0</v>
      </c>
      <c r="E120" s="57">
        <v>0</v>
      </c>
      <c r="F120" s="57">
        <v>4</v>
      </c>
      <c r="G120" s="57">
        <v>4</v>
      </c>
      <c r="H120" s="57">
        <v>0</v>
      </c>
      <c r="I120" s="57">
        <v>0</v>
      </c>
      <c r="J120" s="57">
        <v>0</v>
      </c>
      <c r="K120" s="57">
        <v>0</v>
      </c>
      <c r="L120" s="57">
        <v>0</v>
      </c>
      <c r="M120" s="57">
        <v>0</v>
      </c>
      <c r="N120" s="57">
        <v>0</v>
      </c>
      <c r="O120" s="57">
        <v>0</v>
      </c>
      <c r="P120" s="57">
        <v>0</v>
      </c>
      <c r="Q120" s="57">
        <v>0</v>
      </c>
      <c r="R120" s="57">
        <v>0</v>
      </c>
      <c r="S120" s="57">
        <v>0</v>
      </c>
      <c r="T120" s="57">
        <v>0</v>
      </c>
      <c r="U120" s="57">
        <v>0</v>
      </c>
      <c r="V120" s="57">
        <v>0</v>
      </c>
      <c r="W120" s="57">
        <v>0</v>
      </c>
      <c r="X120" s="57">
        <v>0</v>
      </c>
      <c r="Y120" s="57">
        <v>0</v>
      </c>
      <c r="Z120" s="57">
        <v>0</v>
      </c>
      <c r="AA120" s="57">
        <v>0</v>
      </c>
      <c r="AB120" s="57">
        <v>0</v>
      </c>
      <c r="AC120" s="57">
        <v>0</v>
      </c>
      <c r="AD120" s="57">
        <v>0</v>
      </c>
      <c r="AE120" s="132">
        <v>0</v>
      </c>
    </row>
    <row r="121" spans="1:31">
      <c r="A121" s="127" t="s">
        <v>211</v>
      </c>
      <c r="B121" s="7">
        <f t="shared" si="2"/>
        <v>101</v>
      </c>
      <c r="C121" s="89">
        <f t="shared" si="3"/>
        <v>108</v>
      </c>
      <c r="D121" s="57">
        <v>6</v>
      </c>
      <c r="E121" s="57">
        <v>4</v>
      </c>
      <c r="F121" s="57">
        <v>83</v>
      </c>
      <c r="G121" s="57">
        <v>96</v>
      </c>
      <c r="H121" s="57">
        <v>0</v>
      </c>
      <c r="I121" s="57">
        <v>0</v>
      </c>
      <c r="J121" s="57">
        <v>0</v>
      </c>
      <c r="K121" s="57">
        <v>0</v>
      </c>
      <c r="L121" s="57">
        <v>0</v>
      </c>
      <c r="M121" s="57">
        <v>1</v>
      </c>
      <c r="N121" s="57">
        <v>0</v>
      </c>
      <c r="O121" s="57">
        <v>0</v>
      </c>
      <c r="P121" s="57">
        <v>4</v>
      </c>
      <c r="Q121" s="57">
        <v>2</v>
      </c>
      <c r="R121" s="57">
        <v>1</v>
      </c>
      <c r="S121" s="57">
        <v>1</v>
      </c>
      <c r="T121" s="57">
        <v>7</v>
      </c>
      <c r="U121" s="57">
        <v>4</v>
      </c>
      <c r="V121" s="57">
        <v>0</v>
      </c>
      <c r="W121" s="57">
        <v>0</v>
      </c>
      <c r="X121" s="57">
        <v>0</v>
      </c>
      <c r="Y121" s="57">
        <v>0</v>
      </c>
      <c r="Z121" s="57">
        <v>0</v>
      </c>
      <c r="AA121" s="57">
        <v>0</v>
      </c>
      <c r="AB121" s="57">
        <v>0</v>
      </c>
      <c r="AC121" s="57">
        <v>0</v>
      </c>
      <c r="AD121" s="57">
        <v>0</v>
      </c>
      <c r="AE121" s="132">
        <v>0</v>
      </c>
    </row>
    <row r="122" spans="1:31">
      <c r="A122" s="127" t="s">
        <v>212</v>
      </c>
      <c r="B122" s="7">
        <f t="shared" si="2"/>
        <v>966</v>
      </c>
      <c r="C122" s="89">
        <f t="shared" si="3"/>
        <v>1009</v>
      </c>
      <c r="D122" s="57">
        <v>138</v>
      </c>
      <c r="E122" s="57">
        <v>151</v>
      </c>
      <c r="F122" s="57">
        <v>718</v>
      </c>
      <c r="G122" s="57">
        <v>749</v>
      </c>
      <c r="H122" s="57">
        <v>0</v>
      </c>
      <c r="I122" s="57">
        <v>0</v>
      </c>
      <c r="J122" s="57">
        <v>0</v>
      </c>
      <c r="K122" s="57">
        <v>3</v>
      </c>
      <c r="L122" s="57">
        <v>8</v>
      </c>
      <c r="M122" s="57">
        <v>12</v>
      </c>
      <c r="N122" s="57">
        <v>1</v>
      </c>
      <c r="O122" s="57">
        <v>1</v>
      </c>
      <c r="P122" s="57">
        <v>61</v>
      </c>
      <c r="Q122" s="57">
        <v>60</v>
      </c>
      <c r="R122" s="57">
        <v>0</v>
      </c>
      <c r="S122" s="57">
        <v>0</v>
      </c>
      <c r="T122" s="57">
        <v>29</v>
      </c>
      <c r="U122" s="57">
        <v>27</v>
      </c>
      <c r="V122" s="57">
        <v>7</v>
      </c>
      <c r="W122" s="57">
        <v>3</v>
      </c>
      <c r="X122" s="57">
        <v>2</v>
      </c>
      <c r="Y122" s="57">
        <v>1</v>
      </c>
      <c r="Z122" s="57">
        <v>0</v>
      </c>
      <c r="AA122" s="57">
        <v>0</v>
      </c>
      <c r="AB122" s="57">
        <v>0</v>
      </c>
      <c r="AC122" s="57">
        <v>0</v>
      </c>
      <c r="AD122" s="57">
        <v>2</v>
      </c>
      <c r="AE122" s="132">
        <v>2</v>
      </c>
    </row>
    <row r="123" spans="1:31">
      <c r="A123" s="127" t="s">
        <v>213</v>
      </c>
      <c r="B123" s="7">
        <f t="shared" si="2"/>
        <v>524</v>
      </c>
      <c r="C123" s="89">
        <f t="shared" si="3"/>
        <v>523</v>
      </c>
      <c r="D123" s="57">
        <v>8</v>
      </c>
      <c r="E123" s="57">
        <v>21</v>
      </c>
      <c r="F123" s="57">
        <v>464</v>
      </c>
      <c r="G123" s="57">
        <v>455</v>
      </c>
      <c r="H123" s="57">
        <v>0</v>
      </c>
      <c r="I123" s="57">
        <v>0</v>
      </c>
      <c r="J123" s="57">
        <v>0</v>
      </c>
      <c r="K123" s="57">
        <v>0</v>
      </c>
      <c r="L123" s="57">
        <v>1</v>
      </c>
      <c r="M123" s="57">
        <v>5</v>
      </c>
      <c r="N123" s="57">
        <v>0</v>
      </c>
      <c r="O123" s="57">
        <v>0</v>
      </c>
      <c r="P123" s="57">
        <v>30</v>
      </c>
      <c r="Q123" s="57">
        <v>26</v>
      </c>
      <c r="R123" s="57">
        <v>0</v>
      </c>
      <c r="S123" s="57">
        <v>0</v>
      </c>
      <c r="T123" s="57">
        <v>21</v>
      </c>
      <c r="U123" s="57">
        <v>16</v>
      </c>
      <c r="V123" s="57">
        <v>0</v>
      </c>
      <c r="W123" s="57">
        <v>0</v>
      </c>
      <c r="X123" s="57">
        <v>0</v>
      </c>
      <c r="Y123" s="57">
        <v>0</v>
      </c>
      <c r="Z123" s="57">
        <v>0</v>
      </c>
      <c r="AA123" s="57">
        <v>0</v>
      </c>
      <c r="AB123" s="57">
        <v>0</v>
      </c>
      <c r="AC123" s="57">
        <v>0</v>
      </c>
      <c r="AD123" s="57">
        <v>0</v>
      </c>
      <c r="AE123" s="132">
        <v>0</v>
      </c>
    </row>
    <row r="124" spans="1:31">
      <c r="A124" s="127" t="s">
        <v>214</v>
      </c>
      <c r="B124" s="7">
        <f t="shared" si="2"/>
        <v>74</v>
      </c>
      <c r="C124" s="89">
        <f t="shared" si="3"/>
        <v>80</v>
      </c>
      <c r="D124" s="57">
        <v>16</v>
      </c>
      <c r="E124" s="57">
        <v>18</v>
      </c>
      <c r="F124" s="57">
        <v>51</v>
      </c>
      <c r="G124" s="57">
        <v>60</v>
      </c>
      <c r="H124" s="57">
        <v>0</v>
      </c>
      <c r="I124" s="57">
        <v>0</v>
      </c>
      <c r="J124" s="57">
        <v>0</v>
      </c>
      <c r="K124" s="57">
        <v>0</v>
      </c>
      <c r="L124" s="57">
        <v>1</v>
      </c>
      <c r="M124" s="57">
        <v>0</v>
      </c>
      <c r="N124" s="57">
        <v>0</v>
      </c>
      <c r="O124" s="57">
        <v>0</v>
      </c>
      <c r="P124" s="57">
        <v>1</v>
      </c>
      <c r="Q124" s="57">
        <v>1</v>
      </c>
      <c r="R124" s="57">
        <v>0</v>
      </c>
      <c r="S124" s="57">
        <v>0</v>
      </c>
      <c r="T124" s="57">
        <v>0</v>
      </c>
      <c r="U124" s="57">
        <v>1</v>
      </c>
      <c r="V124" s="57">
        <v>0</v>
      </c>
      <c r="W124" s="57">
        <v>0</v>
      </c>
      <c r="X124" s="57">
        <v>5</v>
      </c>
      <c r="Y124" s="57">
        <v>0</v>
      </c>
      <c r="Z124" s="57">
        <v>0</v>
      </c>
      <c r="AA124" s="57">
        <v>0</v>
      </c>
      <c r="AB124" s="57">
        <v>0</v>
      </c>
      <c r="AC124" s="57">
        <v>0</v>
      </c>
      <c r="AD124" s="57">
        <v>0</v>
      </c>
      <c r="AE124" s="132">
        <v>0</v>
      </c>
    </row>
    <row r="125" spans="1:31">
      <c r="A125" s="127" t="s">
        <v>75</v>
      </c>
      <c r="B125" s="7">
        <f t="shared" si="2"/>
        <v>6</v>
      </c>
      <c r="C125" s="89">
        <f t="shared" si="3"/>
        <v>6</v>
      </c>
      <c r="D125" s="57">
        <v>1</v>
      </c>
      <c r="E125" s="57">
        <v>1</v>
      </c>
      <c r="F125" s="57">
        <v>5</v>
      </c>
      <c r="G125" s="57">
        <v>5</v>
      </c>
      <c r="H125" s="57">
        <v>0</v>
      </c>
      <c r="I125" s="57">
        <v>0</v>
      </c>
      <c r="J125" s="57">
        <v>0</v>
      </c>
      <c r="K125" s="57">
        <v>0</v>
      </c>
      <c r="L125" s="57">
        <v>0</v>
      </c>
      <c r="M125" s="57">
        <v>0</v>
      </c>
      <c r="N125" s="57">
        <v>0</v>
      </c>
      <c r="O125" s="57">
        <v>0</v>
      </c>
      <c r="P125" s="57">
        <v>0</v>
      </c>
      <c r="Q125" s="57">
        <v>0</v>
      </c>
      <c r="R125" s="57">
        <v>0</v>
      </c>
      <c r="S125" s="57">
        <v>0</v>
      </c>
      <c r="T125" s="57">
        <v>0</v>
      </c>
      <c r="U125" s="57">
        <v>0</v>
      </c>
      <c r="V125" s="57">
        <v>0</v>
      </c>
      <c r="W125" s="57">
        <v>0</v>
      </c>
      <c r="X125" s="57">
        <v>0</v>
      </c>
      <c r="Y125" s="57">
        <v>0</v>
      </c>
      <c r="Z125" s="57">
        <v>0</v>
      </c>
      <c r="AA125" s="57">
        <v>0</v>
      </c>
      <c r="AB125" s="57">
        <v>0</v>
      </c>
      <c r="AC125" s="57">
        <v>0</v>
      </c>
      <c r="AD125" s="57">
        <v>0</v>
      </c>
      <c r="AE125" s="132">
        <v>0</v>
      </c>
    </row>
    <row r="126" spans="1:31">
      <c r="A126" s="127" t="s">
        <v>162</v>
      </c>
      <c r="B126" s="7">
        <f t="shared" si="2"/>
        <v>315</v>
      </c>
      <c r="C126" s="89">
        <f t="shared" si="3"/>
        <v>310</v>
      </c>
      <c r="D126" s="57">
        <v>54</v>
      </c>
      <c r="E126" s="57">
        <v>51</v>
      </c>
      <c r="F126" s="57">
        <v>237</v>
      </c>
      <c r="G126" s="57">
        <v>240</v>
      </c>
      <c r="H126" s="57">
        <v>0</v>
      </c>
      <c r="I126" s="57">
        <v>0</v>
      </c>
      <c r="J126" s="57">
        <v>0</v>
      </c>
      <c r="K126" s="57">
        <v>0</v>
      </c>
      <c r="L126" s="57">
        <v>0</v>
      </c>
      <c r="M126" s="57">
        <v>2</v>
      </c>
      <c r="N126" s="57">
        <v>0</v>
      </c>
      <c r="O126" s="57">
        <v>0</v>
      </c>
      <c r="P126" s="57">
        <v>20</v>
      </c>
      <c r="Q126" s="57">
        <v>15</v>
      </c>
      <c r="R126" s="57">
        <v>0</v>
      </c>
      <c r="S126" s="57">
        <v>0</v>
      </c>
      <c r="T126" s="57">
        <v>2</v>
      </c>
      <c r="U126" s="57">
        <v>1</v>
      </c>
      <c r="V126" s="57">
        <v>0</v>
      </c>
      <c r="W126" s="57">
        <v>1</v>
      </c>
      <c r="X126" s="57">
        <v>2</v>
      </c>
      <c r="Y126" s="57">
        <v>0</v>
      </c>
      <c r="Z126" s="57">
        <v>0</v>
      </c>
      <c r="AA126" s="57">
        <v>0</v>
      </c>
      <c r="AB126" s="57">
        <v>0</v>
      </c>
      <c r="AC126" s="57">
        <v>0</v>
      </c>
      <c r="AD126" s="57">
        <v>0</v>
      </c>
      <c r="AE126" s="132">
        <v>0</v>
      </c>
    </row>
    <row r="127" spans="1:31">
      <c r="A127" s="127" t="s">
        <v>76</v>
      </c>
      <c r="B127" s="7">
        <f t="shared" si="2"/>
        <v>21</v>
      </c>
      <c r="C127" s="89">
        <f t="shared" si="3"/>
        <v>24</v>
      </c>
      <c r="D127" s="57">
        <v>0</v>
      </c>
      <c r="E127" s="57">
        <v>1</v>
      </c>
      <c r="F127" s="57">
        <v>21</v>
      </c>
      <c r="G127" s="57">
        <v>23</v>
      </c>
      <c r="H127" s="57">
        <v>0</v>
      </c>
      <c r="I127" s="57">
        <v>0</v>
      </c>
      <c r="J127" s="57">
        <v>0</v>
      </c>
      <c r="K127" s="57">
        <v>0</v>
      </c>
      <c r="L127" s="57">
        <v>0</v>
      </c>
      <c r="M127" s="57">
        <v>0</v>
      </c>
      <c r="N127" s="57">
        <v>0</v>
      </c>
      <c r="O127" s="57">
        <v>0</v>
      </c>
      <c r="P127" s="57">
        <v>0</v>
      </c>
      <c r="Q127" s="57">
        <v>0</v>
      </c>
      <c r="R127" s="57">
        <v>0</v>
      </c>
      <c r="S127" s="57">
        <v>0</v>
      </c>
      <c r="T127" s="57">
        <v>0</v>
      </c>
      <c r="U127" s="57">
        <v>0</v>
      </c>
      <c r="V127" s="57">
        <v>0</v>
      </c>
      <c r="W127" s="57">
        <v>0</v>
      </c>
      <c r="X127" s="57">
        <v>0</v>
      </c>
      <c r="Y127" s="57">
        <v>0</v>
      </c>
      <c r="Z127" s="57">
        <v>0</v>
      </c>
      <c r="AA127" s="57">
        <v>0</v>
      </c>
      <c r="AB127" s="57">
        <v>0</v>
      </c>
      <c r="AC127" s="57">
        <v>0</v>
      </c>
      <c r="AD127" s="57">
        <v>0</v>
      </c>
      <c r="AE127" s="132">
        <v>0</v>
      </c>
    </row>
    <row r="128" spans="1:31">
      <c r="A128" s="127" t="s">
        <v>163</v>
      </c>
      <c r="B128" s="7">
        <f t="shared" si="2"/>
        <v>7</v>
      </c>
      <c r="C128" s="89">
        <f t="shared" si="3"/>
        <v>7</v>
      </c>
      <c r="D128" s="57">
        <v>0</v>
      </c>
      <c r="E128" s="57">
        <v>0</v>
      </c>
      <c r="F128" s="57">
        <v>7</v>
      </c>
      <c r="G128" s="57">
        <v>7</v>
      </c>
      <c r="H128" s="57">
        <v>0</v>
      </c>
      <c r="I128" s="57">
        <v>0</v>
      </c>
      <c r="J128" s="57">
        <v>0</v>
      </c>
      <c r="K128" s="57">
        <v>0</v>
      </c>
      <c r="L128" s="57">
        <v>0</v>
      </c>
      <c r="M128" s="57">
        <v>0</v>
      </c>
      <c r="N128" s="57">
        <v>0</v>
      </c>
      <c r="O128" s="57">
        <v>0</v>
      </c>
      <c r="P128" s="57">
        <v>0</v>
      </c>
      <c r="Q128" s="57">
        <v>0</v>
      </c>
      <c r="R128" s="57">
        <v>0</v>
      </c>
      <c r="S128" s="57">
        <v>0</v>
      </c>
      <c r="T128" s="57">
        <v>0</v>
      </c>
      <c r="U128" s="57">
        <v>0</v>
      </c>
      <c r="V128" s="57">
        <v>0</v>
      </c>
      <c r="W128" s="57">
        <v>0</v>
      </c>
      <c r="X128" s="57">
        <v>0</v>
      </c>
      <c r="Y128" s="57">
        <v>0</v>
      </c>
      <c r="Z128" s="57">
        <v>0</v>
      </c>
      <c r="AA128" s="57">
        <v>0</v>
      </c>
      <c r="AB128" s="57">
        <v>0</v>
      </c>
      <c r="AC128" s="57">
        <v>0</v>
      </c>
      <c r="AD128" s="57">
        <v>0</v>
      </c>
      <c r="AE128" s="132">
        <v>0</v>
      </c>
    </row>
    <row r="129" spans="1:31">
      <c r="A129" s="127" t="s">
        <v>77</v>
      </c>
      <c r="B129" s="7">
        <f t="shared" si="2"/>
        <v>5</v>
      </c>
      <c r="C129" s="89">
        <f t="shared" si="3"/>
        <v>5</v>
      </c>
      <c r="D129" s="57">
        <v>0</v>
      </c>
      <c r="E129" s="57">
        <v>0</v>
      </c>
      <c r="F129" s="57">
        <v>5</v>
      </c>
      <c r="G129" s="57">
        <v>5</v>
      </c>
      <c r="H129" s="57">
        <v>0</v>
      </c>
      <c r="I129" s="57">
        <v>0</v>
      </c>
      <c r="J129" s="57">
        <v>0</v>
      </c>
      <c r="K129" s="57">
        <v>0</v>
      </c>
      <c r="L129" s="57">
        <v>0</v>
      </c>
      <c r="M129" s="57">
        <v>0</v>
      </c>
      <c r="N129" s="57">
        <v>0</v>
      </c>
      <c r="O129" s="57">
        <v>0</v>
      </c>
      <c r="P129" s="57">
        <v>0</v>
      </c>
      <c r="Q129" s="57">
        <v>0</v>
      </c>
      <c r="R129" s="57">
        <v>0</v>
      </c>
      <c r="S129" s="57">
        <v>0</v>
      </c>
      <c r="T129" s="57">
        <v>0</v>
      </c>
      <c r="U129" s="57">
        <v>0</v>
      </c>
      <c r="V129" s="57">
        <v>0</v>
      </c>
      <c r="W129" s="57">
        <v>0</v>
      </c>
      <c r="X129" s="57">
        <v>0</v>
      </c>
      <c r="Y129" s="57">
        <v>0</v>
      </c>
      <c r="Z129" s="57">
        <v>0</v>
      </c>
      <c r="AA129" s="57">
        <v>0</v>
      </c>
      <c r="AB129" s="57">
        <v>0</v>
      </c>
      <c r="AC129" s="57">
        <v>0</v>
      </c>
      <c r="AD129" s="57">
        <v>0</v>
      </c>
      <c r="AE129" s="132">
        <v>0</v>
      </c>
    </row>
    <row r="130" spans="1:31">
      <c r="A130" s="127" t="s">
        <v>215</v>
      </c>
      <c r="B130" s="7">
        <f t="shared" si="2"/>
        <v>190</v>
      </c>
      <c r="C130" s="89">
        <f t="shared" si="3"/>
        <v>173</v>
      </c>
      <c r="D130" s="57">
        <v>18</v>
      </c>
      <c r="E130" s="57">
        <v>14</v>
      </c>
      <c r="F130" s="57">
        <v>154</v>
      </c>
      <c r="G130" s="57">
        <v>144</v>
      </c>
      <c r="H130" s="57">
        <v>0</v>
      </c>
      <c r="I130" s="57">
        <v>0</v>
      </c>
      <c r="J130" s="57">
        <v>0</v>
      </c>
      <c r="K130" s="57">
        <v>0</v>
      </c>
      <c r="L130" s="57">
        <v>3</v>
      </c>
      <c r="M130" s="57">
        <v>3</v>
      </c>
      <c r="N130" s="57">
        <v>0</v>
      </c>
      <c r="O130" s="57">
        <v>0</v>
      </c>
      <c r="P130" s="57">
        <v>10</v>
      </c>
      <c r="Q130" s="57">
        <v>7</v>
      </c>
      <c r="R130" s="57">
        <v>0</v>
      </c>
      <c r="S130" s="57">
        <v>0</v>
      </c>
      <c r="T130" s="57">
        <v>3</v>
      </c>
      <c r="U130" s="57">
        <v>4</v>
      </c>
      <c r="V130" s="57">
        <v>0</v>
      </c>
      <c r="W130" s="57">
        <v>0</v>
      </c>
      <c r="X130" s="57">
        <v>0</v>
      </c>
      <c r="Y130" s="57">
        <v>0</v>
      </c>
      <c r="Z130" s="57">
        <v>1</v>
      </c>
      <c r="AA130" s="57">
        <v>1</v>
      </c>
      <c r="AB130" s="57">
        <v>0</v>
      </c>
      <c r="AC130" s="57">
        <v>0</v>
      </c>
      <c r="AD130" s="57">
        <v>1</v>
      </c>
      <c r="AE130" s="132">
        <v>0</v>
      </c>
    </row>
    <row r="131" spans="1:31">
      <c r="A131" s="127" t="s">
        <v>78</v>
      </c>
      <c r="B131" s="7">
        <f t="shared" si="2"/>
        <v>300</v>
      </c>
      <c r="C131" s="89">
        <f t="shared" si="3"/>
        <v>308</v>
      </c>
      <c r="D131" s="57">
        <v>26</v>
      </c>
      <c r="E131" s="57">
        <v>26</v>
      </c>
      <c r="F131" s="57">
        <v>248</v>
      </c>
      <c r="G131" s="57">
        <v>253</v>
      </c>
      <c r="H131" s="57">
        <v>0</v>
      </c>
      <c r="I131" s="57">
        <v>0</v>
      </c>
      <c r="J131" s="57">
        <v>0</v>
      </c>
      <c r="K131" s="57">
        <v>0</v>
      </c>
      <c r="L131" s="57">
        <v>7</v>
      </c>
      <c r="M131" s="57">
        <v>6</v>
      </c>
      <c r="N131" s="57">
        <v>0</v>
      </c>
      <c r="O131" s="57">
        <v>0</v>
      </c>
      <c r="P131" s="57">
        <v>10</v>
      </c>
      <c r="Q131" s="57">
        <v>12</v>
      </c>
      <c r="R131" s="57">
        <v>0</v>
      </c>
      <c r="S131" s="57">
        <v>0</v>
      </c>
      <c r="T131" s="57">
        <v>9</v>
      </c>
      <c r="U131" s="57">
        <v>10</v>
      </c>
      <c r="V131" s="57">
        <v>0</v>
      </c>
      <c r="W131" s="57">
        <v>0</v>
      </c>
      <c r="X131" s="57">
        <v>0</v>
      </c>
      <c r="Y131" s="57">
        <v>1</v>
      </c>
      <c r="Z131" s="57">
        <v>0</v>
      </c>
      <c r="AA131" s="57">
        <v>0</v>
      </c>
      <c r="AB131" s="57">
        <v>0</v>
      </c>
      <c r="AC131" s="57">
        <v>0</v>
      </c>
      <c r="AD131" s="57">
        <v>0</v>
      </c>
      <c r="AE131" s="132">
        <v>0</v>
      </c>
    </row>
    <row r="132" spans="1:31">
      <c r="A132" s="127" t="s">
        <v>79</v>
      </c>
      <c r="B132" s="7">
        <f t="shared" si="2"/>
        <v>56</v>
      </c>
      <c r="C132" s="89">
        <f t="shared" si="3"/>
        <v>49</v>
      </c>
      <c r="D132" s="57">
        <v>3</v>
      </c>
      <c r="E132" s="57">
        <v>6</v>
      </c>
      <c r="F132" s="57">
        <v>41</v>
      </c>
      <c r="G132" s="57">
        <v>36</v>
      </c>
      <c r="H132" s="57">
        <v>0</v>
      </c>
      <c r="I132" s="57">
        <v>0</v>
      </c>
      <c r="J132" s="57">
        <v>0</v>
      </c>
      <c r="K132" s="57">
        <v>0</v>
      </c>
      <c r="L132" s="57">
        <v>2</v>
      </c>
      <c r="M132" s="57">
        <v>2</v>
      </c>
      <c r="N132" s="57">
        <v>0</v>
      </c>
      <c r="O132" s="57">
        <v>0</v>
      </c>
      <c r="P132" s="57">
        <v>3</v>
      </c>
      <c r="Q132" s="57">
        <v>2</v>
      </c>
      <c r="R132" s="57">
        <v>0</v>
      </c>
      <c r="S132" s="57">
        <v>0</v>
      </c>
      <c r="T132" s="57">
        <v>0</v>
      </c>
      <c r="U132" s="57">
        <v>0</v>
      </c>
      <c r="V132" s="57">
        <v>3</v>
      </c>
      <c r="W132" s="57">
        <v>0</v>
      </c>
      <c r="X132" s="57">
        <v>1</v>
      </c>
      <c r="Y132" s="57">
        <v>1</v>
      </c>
      <c r="Z132" s="57">
        <v>0</v>
      </c>
      <c r="AA132" s="57">
        <v>1</v>
      </c>
      <c r="AB132" s="57">
        <v>1</v>
      </c>
      <c r="AC132" s="57">
        <v>0</v>
      </c>
      <c r="AD132" s="57">
        <v>2</v>
      </c>
      <c r="AE132" s="132">
        <v>1</v>
      </c>
    </row>
    <row r="133" spans="1:31">
      <c r="A133" s="127" t="s">
        <v>374</v>
      </c>
      <c r="B133" s="7">
        <f t="shared" si="2"/>
        <v>3</v>
      </c>
      <c r="C133" s="89">
        <f t="shared" si="3"/>
        <v>2</v>
      </c>
      <c r="D133" s="57">
        <v>0</v>
      </c>
      <c r="E133" s="57">
        <v>0</v>
      </c>
      <c r="F133" s="57">
        <v>2</v>
      </c>
      <c r="G133" s="57">
        <v>2</v>
      </c>
      <c r="H133" s="57">
        <v>0</v>
      </c>
      <c r="I133" s="57">
        <v>0</v>
      </c>
      <c r="J133" s="57">
        <v>0</v>
      </c>
      <c r="K133" s="57">
        <v>0</v>
      </c>
      <c r="L133" s="57">
        <v>0</v>
      </c>
      <c r="M133" s="57">
        <v>0</v>
      </c>
      <c r="N133" s="57">
        <v>0</v>
      </c>
      <c r="O133" s="57">
        <v>0</v>
      </c>
      <c r="P133" s="57">
        <v>0</v>
      </c>
      <c r="Q133" s="57">
        <v>0</v>
      </c>
      <c r="R133" s="57">
        <v>0</v>
      </c>
      <c r="S133" s="57">
        <v>0</v>
      </c>
      <c r="T133" s="57">
        <v>0</v>
      </c>
      <c r="U133" s="57">
        <v>0</v>
      </c>
      <c r="V133" s="57">
        <v>0</v>
      </c>
      <c r="W133" s="57">
        <v>0</v>
      </c>
      <c r="X133" s="57">
        <v>1</v>
      </c>
      <c r="Y133" s="57">
        <v>0</v>
      </c>
      <c r="Z133" s="57">
        <v>0</v>
      </c>
      <c r="AA133" s="57">
        <v>0</v>
      </c>
      <c r="AB133" s="57">
        <v>0</v>
      </c>
      <c r="AC133" s="57">
        <v>0</v>
      </c>
      <c r="AD133" s="57">
        <v>0</v>
      </c>
      <c r="AE133" s="132">
        <v>0</v>
      </c>
    </row>
    <row r="134" spans="1:31">
      <c r="A134" s="127" t="s">
        <v>127</v>
      </c>
      <c r="B134" s="7">
        <f t="shared" si="2"/>
        <v>67836</v>
      </c>
      <c r="C134" s="89">
        <f t="shared" si="3"/>
        <v>67645</v>
      </c>
      <c r="D134" s="57">
        <v>1723</v>
      </c>
      <c r="E134" s="57">
        <v>1516</v>
      </c>
      <c r="F134" s="57">
        <v>63007</v>
      </c>
      <c r="G134" s="57">
        <v>63045</v>
      </c>
      <c r="H134" s="57">
        <v>0</v>
      </c>
      <c r="I134" s="57">
        <v>0</v>
      </c>
      <c r="J134" s="57">
        <v>7</v>
      </c>
      <c r="K134" s="57">
        <v>16</v>
      </c>
      <c r="L134" s="57">
        <v>485</v>
      </c>
      <c r="M134" s="57">
        <v>473</v>
      </c>
      <c r="N134" s="57">
        <v>17</v>
      </c>
      <c r="O134" s="57">
        <v>13</v>
      </c>
      <c r="P134" s="57">
        <v>1932</v>
      </c>
      <c r="Q134" s="57">
        <v>1874</v>
      </c>
      <c r="R134" s="57">
        <v>42</v>
      </c>
      <c r="S134" s="57">
        <v>73</v>
      </c>
      <c r="T134" s="57">
        <v>428</v>
      </c>
      <c r="U134" s="57">
        <v>476</v>
      </c>
      <c r="V134" s="57">
        <v>11</v>
      </c>
      <c r="W134" s="57">
        <v>4</v>
      </c>
      <c r="X134" s="57">
        <v>58</v>
      </c>
      <c r="Y134" s="57">
        <v>17</v>
      </c>
      <c r="Z134" s="57">
        <v>38</v>
      </c>
      <c r="AA134" s="57">
        <v>31</v>
      </c>
      <c r="AB134" s="57">
        <v>13</v>
      </c>
      <c r="AC134" s="57">
        <v>22</v>
      </c>
      <c r="AD134" s="57">
        <v>75</v>
      </c>
      <c r="AE134" s="132">
        <v>85</v>
      </c>
    </row>
    <row r="135" spans="1:31">
      <c r="A135" s="127" t="s">
        <v>239</v>
      </c>
      <c r="B135" s="7">
        <f t="shared" si="2"/>
        <v>1</v>
      </c>
      <c r="C135" s="89">
        <f t="shared" si="3"/>
        <v>1</v>
      </c>
      <c r="D135" s="57">
        <v>0</v>
      </c>
      <c r="E135" s="57">
        <v>0</v>
      </c>
      <c r="F135" s="57">
        <v>1</v>
      </c>
      <c r="G135" s="57">
        <v>1</v>
      </c>
      <c r="H135" s="57">
        <v>0</v>
      </c>
      <c r="I135" s="57">
        <v>0</v>
      </c>
      <c r="J135" s="57">
        <v>0</v>
      </c>
      <c r="K135" s="57">
        <v>0</v>
      </c>
      <c r="L135" s="57">
        <v>0</v>
      </c>
      <c r="M135" s="57">
        <v>0</v>
      </c>
      <c r="N135" s="57">
        <v>0</v>
      </c>
      <c r="O135" s="57">
        <v>0</v>
      </c>
      <c r="P135" s="57">
        <v>0</v>
      </c>
      <c r="Q135" s="57">
        <v>0</v>
      </c>
      <c r="R135" s="57">
        <v>0</v>
      </c>
      <c r="S135" s="57">
        <v>0</v>
      </c>
      <c r="T135" s="57">
        <v>0</v>
      </c>
      <c r="U135" s="57">
        <v>0</v>
      </c>
      <c r="V135" s="57">
        <v>0</v>
      </c>
      <c r="W135" s="57">
        <v>0</v>
      </c>
      <c r="X135" s="57">
        <v>0</v>
      </c>
      <c r="Y135" s="57">
        <v>0</v>
      </c>
      <c r="Z135" s="57">
        <v>0</v>
      </c>
      <c r="AA135" s="57">
        <v>0</v>
      </c>
      <c r="AB135" s="57">
        <v>0</v>
      </c>
      <c r="AC135" s="57">
        <v>0</v>
      </c>
      <c r="AD135" s="57">
        <v>0</v>
      </c>
      <c r="AE135" s="132">
        <v>0</v>
      </c>
    </row>
    <row r="136" spans="1:31">
      <c r="A136" s="127" t="s">
        <v>216</v>
      </c>
      <c r="B136" s="7">
        <f t="shared" si="2"/>
        <v>51</v>
      </c>
      <c r="C136" s="89">
        <f t="shared" si="3"/>
        <v>54</v>
      </c>
      <c r="D136" s="57">
        <v>12</v>
      </c>
      <c r="E136" s="57">
        <v>13</v>
      </c>
      <c r="F136" s="57">
        <v>37</v>
      </c>
      <c r="G136" s="57">
        <v>38</v>
      </c>
      <c r="H136" s="57">
        <v>0</v>
      </c>
      <c r="I136" s="57">
        <v>0</v>
      </c>
      <c r="J136" s="57">
        <v>0</v>
      </c>
      <c r="K136" s="57">
        <v>0</v>
      </c>
      <c r="L136" s="57">
        <v>1</v>
      </c>
      <c r="M136" s="57">
        <v>0</v>
      </c>
      <c r="N136" s="57">
        <v>0</v>
      </c>
      <c r="O136" s="57">
        <v>0</v>
      </c>
      <c r="P136" s="57">
        <v>0</v>
      </c>
      <c r="Q136" s="57">
        <v>1</v>
      </c>
      <c r="R136" s="57">
        <v>0</v>
      </c>
      <c r="S136" s="57">
        <v>0</v>
      </c>
      <c r="T136" s="57">
        <v>1</v>
      </c>
      <c r="U136" s="57">
        <v>1</v>
      </c>
      <c r="V136" s="57">
        <v>0</v>
      </c>
      <c r="W136" s="57">
        <v>0</v>
      </c>
      <c r="X136" s="57">
        <v>0</v>
      </c>
      <c r="Y136" s="57">
        <v>0</v>
      </c>
      <c r="Z136" s="57">
        <v>0</v>
      </c>
      <c r="AA136" s="57">
        <v>1</v>
      </c>
      <c r="AB136" s="57">
        <v>0</v>
      </c>
      <c r="AC136" s="57">
        <v>0</v>
      </c>
      <c r="AD136" s="57">
        <v>0</v>
      </c>
      <c r="AE136" s="132">
        <v>0</v>
      </c>
    </row>
    <row r="137" spans="1:31">
      <c r="A137" s="127" t="s">
        <v>222</v>
      </c>
      <c r="B137" s="7">
        <f t="shared" si="2"/>
        <v>53</v>
      </c>
      <c r="C137" s="89">
        <f t="shared" si="3"/>
        <v>53</v>
      </c>
      <c r="D137" s="57">
        <v>5</v>
      </c>
      <c r="E137" s="57">
        <v>7</v>
      </c>
      <c r="F137" s="57">
        <v>48</v>
      </c>
      <c r="G137" s="57">
        <v>46</v>
      </c>
      <c r="H137" s="57">
        <v>0</v>
      </c>
      <c r="I137" s="57">
        <v>0</v>
      </c>
      <c r="J137" s="57">
        <v>0</v>
      </c>
      <c r="K137" s="57">
        <v>0</v>
      </c>
      <c r="L137" s="57">
        <v>0</v>
      </c>
      <c r="M137" s="57">
        <v>0</v>
      </c>
      <c r="N137" s="57">
        <v>0</v>
      </c>
      <c r="O137" s="57">
        <v>0</v>
      </c>
      <c r="P137" s="57">
        <v>0</v>
      </c>
      <c r="Q137" s="57">
        <v>0</v>
      </c>
      <c r="R137" s="57">
        <v>0</v>
      </c>
      <c r="S137" s="57">
        <v>0</v>
      </c>
      <c r="T137" s="57">
        <v>0</v>
      </c>
      <c r="U137" s="57">
        <v>0</v>
      </c>
      <c r="V137" s="57">
        <v>0</v>
      </c>
      <c r="W137" s="57">
        <v>0</v>
      </c>
      <c r="X137" s="57">
        <v>0</v>
      </c>
      <c r="Y137" s="57">
        <v>0</v>
      </c>
      <c r="Z137" s="57">
        <v>0</v>
      </c>
      <c r="AA137" s="57">
        <v>0</v>
      </c>
      <c r="AB137" s="57">
        <v>0</v>
      </c>
      <c r="AC137" s="57">
        <v>0</v>
      </c>
      <c r="AD137" s="57">
        <v>0</v>
      </c>
      <c r="AE137" s="132">
        <v>0</v>
      </c>
    </row>
    <row r="138" spans="1:31">
      <c r="A138" s="127" t="s">
        <v>165</v>
      </c>
      <c r="B138" s="7">
        <f t="shared" si="2"/>
        <v>21</v>
      </c>
      <c r="C138" s="89">
        <f t="shared" si="3"/>
        <v>19</v>
      </c>
      <c r="D138" s="57">
        <v>7</v>
      </c>
      <c r="E138" s="57">
        <v>0</v>
      </c>
      <c r="F138" s="57">
        <v>14</v>
      </c>
      <c r="G138" s="57">
        <v>19</v>
      </c>
      <c r="H138" s="57">
        <v>0</v>
      </c>
      <c r="I138" s="57">
        <v>0</v>
      </c>
      <c r="J138" s="57">
        <v>0</v>
      </c>
      <c r="K138" s="57">
        <v>0</v>
      </c>
      <c r="L138" s="57">
        <v>0</v>
      </c>
      <c r="M138" s="57">
        <v>0</v>
      </c>
      <c r="N138" s="57">
        <v>0</v>
      </c>
      <c r="O138" s="57">
        <v>0</v>
      </c>
      <c r="P138" s="57">
        <v>0</v>
      </c>
      <c r="Q138" s="57">
        <v>0</v>
      </c>
      <c r="R138" s="57">
        <v>0</v>
      </c>
      <c r="S138" s="57">
        <v>0</v>
      </c>
      <c r="T138" s="57">
        <v>0</v>
      </c>
      <c r="U138" s="57">
        <v>0</v>
      </c>
      <c r="V138" s="57">
        <v>0</v>
      </c>
      <c r="W138" s="57">
        <v>0</v>
      </c>
      <c r="X138" s="57">
        <v>0</v>
      </c>
      <c r="Y138" s="57">
        <v>0</v>
      </c>
      <c r="Z138" s="57">
        <v>0</v>
      </c>
      <c r="AA138" s="57">
        <v>0</v>
      </c>
      <c r="AB138" s="57">
        <v>0</v>
      </c>
      <c r="AC138" s="57">
        <v>0</v>
      </c>
      <c r="AD138" s="57">
        <v>0</v>
      </c>
      <c r="AE138" s="132">
        <v>0</v>
      </c>
    </row>
    <row r="139" spans="1:31">
      <c r="A139" s="127" t="s">
        <v>217</v>
      </c>
      <c r="B139" s="7">
        <f t="shared" si="2"/>
        <v>44</v>
      </c>
      <c r="C139" s="89">
        <f t="shared" si="3"/>
        <v>46</v>
      </c>
      <c r="D139" s="57">
        <v>4</v>
      </c>
      <c r="E139" s="57">
        <v>5</v>
      </c>
      <c r="F139" s="57">
        <v>32</v>
      </c>
      <c r="G139" s="57">
        <v>28</v>
      </c>
      <c r="H139" s="57">
        <v>0</v>
      </c>
      <c r="I139" s="57">
        <v>0</v>
      </c>
      <c r="J139" s="57">
        <v>0</v>
      </c>
      <c r="K139" s="57">
        <v>0</v>
      </c>
      <c r="L139" s="57">
        <v>2</v>
      </c>
      <c r="M139" s="57">
        <v>2</v>
      </c>
      <c r="N139" s="57">
        <v>0</v>
      </c>
      <c r="O139" s="57">
        <v>0</v>
      </c>
      <c r="P139" s="57">
        <v>3</v>
      </c>
      <c r="Q139" s="57">
        <v>5</v>
      </c>
      <c r="R139" s="57">
        <v>0</v>
      </c>
      <c r="S139" s="57">
        <v>0</v>
      </c>
      <c r="T139" s="57">
        <v>0</v>
      </c>
      <c r="U139" s="57">
        <v>4</v>
      </c>
      <c r="V139" s="57">
        <v>2</v>
      </c>
      <c r="W139" s="57">
        <v>1</v>
      </c>
      <c r="X139" s="57">
        <v>1</v>
      </c>
      <c r="Y139" s="57">
        <v>1</v>
      </c>
      <c r="Z139" s="57">
        <v>0</v>
      </c>
      <c r="AA139" s="57">
        <v>0</v>
      </c>
      <c r="AB139" s="57">
        <v>0</v>
      </c>
      <c r="AC139" s="57">
        <v>0</v>
      </c>
      <c r="AD139" s="57">
        <v>0</v>
      </c>
      <c r="AE139" s="132">
        <v>0</v>
      </c>
    </row>
    <row r="140" spans="1:31">
      <c r="A140" s="127" t="s">
        <v>80</v>
      </c>
      <c r="B140" s="7">
        <f t="shared" si="2"/>
        <v>7</v>
      </c>
      <c r="C140" s="89">
        <f t="shared" si="3"/>
        <v>8</v>
      </c>
      <c r="D140" s="57">
        <v>1</v>
      </c>
      <c r="E140" s="57">
        <v>0</v>
      </c>
      <c r="F140" s="57">
        <v>6</v>
      </c>
      <c r="G140" s="57">
        <v>8</v>
      </c>
      <c r="H140" s="57">
        <v>0</v>
      </c>
      <c r="I140" s="57">
        <v>0</v>
      </c>
      <c r="J140" s="57">
        <v>0</v>
      </c>
      <c r="K140" s="57">
        <v>0</v>
      </c>
      <c r="L140" s="57">
        <v>0</v>
      </c>
      <c r="M140" s="57">
        <v>0</v>
      </c>
      <c r="N140" s="57">
        <v>0</v>
      </c>
      <c r="O140" s="57">
        <v>0</v>
      </c>
      <c r="P140" s="57">
        <v>0</v>
      </c>
      <c r="Q140" s="57">
        <v>0</v>
      </c>
      <c r="R140" s="57">
        <v>0</v>
      </c>
      <c r="S140" s="57">
        <v>0</v>
      </c>
      <c r="T140" s="57">
        <v>0</v>
      </c>
      <c r="U140" s="57">
        <v>0</v>
      </c>
      <c r="V140" s="57">
        <v>0</v>
      </c>
      <c r="W140" s="57">
        <v>0</v>
      </c>
      <c r="X140" s="57">
        <v>0</v>
      </c>
      <c r="Y140" s="57">
        <v>0</v>
      </c>
      <c r="Z140" s="57">
        <v>0</v>
      </c>
      <c r="AA140" s="57">
        <v>0</v>
      </c>
      <c r="AB140" s="57">
        <v>0</v>
      </c>
      <c r="AC140" s="57">
        <v>0</v>
      </c>
      <c r="AD140" s="57">
        <v>0</v>
      </c>
      <c r="AE140" s="132">
        <v>0</v>
      </c>
    </row>
    <row r="141" spans="1:31">
      <c r="A141" s="127" t="s">
        <v>166</v>
      </c>
      <c r="B141" s="7">
        <f t="shared" si="2"/>
        <v>18</v>
      </c>
      <c r="C141" s="89">
        <f t="shared" si="3"/>
        <v>24</v>
      </c>
      <c r="D141" s="57">
        <v>2</v>
      </c>
      <c r="E141" s="57">
        <v>2</v>
      </c>
      <c r="F141" s="57">
        <v>14</v>
      </c>
      <c r="G141" s="57">
        <v>20</v>
      </c>
      <c r="H141" s="57">
        <v>0</v>
      </c>
      <c r="I141" s="57">
        <v>0</v>
      </c>
      <c r="J141" s="57">
        <v>0</v>
      </c>
      <c r="K141" s="57">
        <v>0</v>
      </c>
      <c r="L141" s="57">
        <v>0</v>
      </c>
      <c r="M141" s="57">
        <v>0</v>
      </c>
      <c r="N141" s="57">
        <v>0</v>
      </c>
      <c r="O141" s="57">
        <v>0</v>
      </c>
      <c r="P141" s="57">
        <v>1</v>
      </c>
      <c r="Q141" s="57">
        <v>1</v>
      </c>
      <c r="R141" s="57">
        <v>0</v>
      </c>
      <c r="S141" s="57">
        <v>0</v>
      </c>
      <c r="T141" s="57">
        <v>0</v>
      </c>
      <c r="U141" s="57">
        <v>0</v>
      </c>
      <c r="V141" s="57">
        <v>1</v>
      </c>
      <c r="W141" s="57">
        <v>0</v>
      </c>
      <c r="X141" s="57">
        <v>0</v>
      </c>
      <c r="Y141" s="57">
        <v>1</v>
      </c>
      <c r="Z141" s="57">
        <v>0</v>
      </c>
      <c r="AA141" s="57">
        <v>0</v>
      </c>
      <c r="AB141" s="57">
        <v>0</v>
      </c>
      <c r="AC141" s="57">
        <v>0</v>
      </c>
      <c r="AD141" s="57">
        <v>0</v>
      </c>
      <c r="AE141" s="132">
        <v>0</v>
      </c>
    </row>
    <row r="142" spans="1:31">
      <c r="A142" s="127" t="s">
        <v>81</v>
      </c>
      <c r="B142" s="7">
        <f t="shared" ref="B142:B204" si="4">D142+F142+H142+J142+L142+N142+P142+R142+T142+V142+X142+Z142+AB142+AD142</f>
        <v>8</v>
      </c>
      <c r="C142" s="89">
        <f t="shared" ref="C142:C204" si="5">E142+G142+I142+K142+M142+O142+Q142+S142+U142+W142+Y142+AA142+AC142+AE142</f>
        <v>11</v>
      </c>
      <c r="D142" s="57">
        <v>0</v>
      </c>
      <c r="E142" s="57">
        <v>0</v>
      </c>
      <c r="F142" s="57">
        <v>6</v>
      </c>
      <c r="G142" s="57">
        <v>10</v>
      </c>
      <c r="H142" s="57">
        <v>0</v>
      </c>
      <c r="I142" s="57">
        <v>0</v>
      </c>
      <c r="J142" s="57">
        <v>0</v>
      </c>
      <c r="K142" s="57">
        <v>0</v>
      </c>
      <c r="L142" s="57">
        <v>0</v>
      </c>
      <c r="M142" s="57">
        <v>0</v>
      </c>
      <c r="N142" s="57">
        <v>0</v>
      </c>
      <c r="O142" s="57">
        <v>0</v>
      </c>
      <c r="P142" s="57">
        <v>0</v>
      </c>
      <c r="Q142" s="57">
        <v>0</v>
      </c>
      <c r="R142" s="57">
        <v>0</v>
      </c>
      <c r="S142" s="57">
        <v>0</v>
      </c>
      <c r="T142" s="57">
        <v>0</v>
      </c>
      <c r="U142" s="57">
        <v>0</v>
      </c>
      <c r="V142" s="57">
        <v>0</v>
      </c>
      <c r="W142" s="57">
        <v>0</v>
      </c>
      <c r="X142" s="57">
        <v>0</v>
      </c>
      <c r="Y142" s="57">
        <v>0</v>
      </c>
      <c r="Z142" s="57">
        <v>0</v>
      </c>
      <c r="AA142" s="57">
        <v>1</v>
      </c>
      <c r="AB142" s="57">
        <v>1</v>
      </c>
      <c r="AC142" s="57">
        <v>0</v>
      </c>
      <c r="AD142" s="57">
        <v>1</v>
      </c>
      <c r="AE142" s="132">
        <v>0</v>
      </c>
    </row>
    <row r="143" spans="1:31">
      <c r="A143" s="127" t="s">
        <v>167</v>
      </c>
      <c r="B143" s="7">
        <f t="shared" si="4"/>
        <v>170</v>
      </c>
      <c r="C143" s="89">
        <f t="shared" si="5"/>
        <v>174</v>
      </c>
      <c r="D143" s="57">
        <v>31</v>
      </c>
      <c r="E143" s="57">
        <v>32</v>
      </c>
      <c r="F143" s="57">
        <v>138</v>
      </c>
      <c r="G143" s="57">
        <v>140</v>
      </c>
      <c r="H143" s="57">
        <v>0</v>
      </c>
      <c r="I143" s="57">
        <v>0</v>
      </c>
      <c r="J143" s="57">
        <v>0</v>
      </c>
      <c r="K143" s="57">
        <v>0</v>
      </c>
      <c r="L143" s="57">
        <v>1</v>
      </c>
      <c r="M143" s="57">
        <v>1</v>
      </c>
      <c r="N143" s="57">
        <v>0</v>
      </c>
      <c r="O143" s="57">
        <v>0</v>
      </c>
      <c r="P143" s="57">
        <v>0</v>
      </c>
      <c r="Q143" s="57">
        <v>0</v>
      </c>
      <c r="R143" s="57">
        <v>0</v>
      </c>
      <c r="S143" s="57">
        <v>0</v>
      </c>
      <c r="T143" s="57">
        <v>0</v>
      </c>
      <c r="U143" s="57">
        <v>0</v>
      </c>
      <c r="V143" s="57">
        <v>0</v>
      </c>
      <c r="W143" s="57">
        <v>0</v>
      </c>
      <c r="X143" s="57">
        <v>0</v>
      </c>
      <c r="Y143" s="57">
        <v>1</v>
      </c>
      <c r="Z143" s="57">
        <v>0</v>
      </c>
      <c r="AA143" s="57">
        <v>0</v>
      </c>
      <c r="AB143" s="57">
        <v>0</v>
      </c>
      <c r="AC143" s="57">
        <v>0</v>
      </c>
      <c r="AD143" s="57">
        <v>0</v>
      </c>
      <c r="AE143" s="132">
        <v>0</v>
      </c>
    </row>
    <row r="144" spans="1:31">
      <c r="A144" s="127" t="s">
        <v>25</v>
      </c>
      <c r="B144" s="7">
        <f t="shared" si="4"/>
        <v>231710</v>
      </c>
      <c r="C144" s="89">
        <f t="shared" si="5"/>
        <v>241693</v>
      </c>
      <c r="D144" s="57">
        <v>3864</v>
      </c>
      <c r="E144" s="57">
        <v>4116</v>
      </c>
      <c r="F144" s="57">
        <v>20866</v>
      </c>
      <c r="G144" s="57">
        <v>27213</v>
      </c>
      <c r="H144" s="57">
        <v>0</v>
      </c>
      <c r="I144" s="57">
        <v>0</v>
      </c>
      <c r="J144" s="57">
        <v>38</v>
      </c>
      <c r="K144" s="57">
        <v>44</v>
      </c>
      <c r="L144" s="57">
        <v>9155</v>
      </c>
      <c r="M144" s="57">
        <v>10907</v>
      </c>
      <c r="N144" s="57">
        <v>7</v>
      </c>
      <c r="O144" s="57">
        <v>7</v>
      </c>
      <c r="P144" s="57">
        <v>181746</v>
      </c>
      <c r="Q144" s="57">
        <v>179736</v>
      </c>
      <c r="R144" s="57">
        <v>15268</v>
      </c>
      <c r="S144" s="57">
        <v>18858</v>
      </c>
      <c r="T144" s="57">
        <v>731</v>
      </c>
      <c r="U144" s="57">
        <v>791</v>
      </c>
      <c r="V144" s="57">
        <v>0</v>
      </c>
      <c r="W144" s="57">
        <v>8</v>
      </c>
      <c r="X144" s="57">
        <v>23</v>
      </c>
      <c r="Y144" s="57">
        <v>6</v>
      </c>
      <c r="Z144" s="57">
        <v>2</v>
      </c>
      <c r="AA144" s="57">
        <v>0</v>
      </c>
      <c r="AB144" s="57">
        <v>4</v>
      </c>
      <c r="AC144" s="57">
        <v>4</v>
      </c>
      <c r="AD144" s="57">
        <v>6</v>
      </c>
      <c r="AE144" s="132">
        <v>3</v>
      </c>
    </row>
    <row r="145" spans="1:31">
      <c r="A145" s="127" t="s">
        <v>82</v>
      </c>
      <c r="B145" s="7">
        <f t="shared" si="4"/>
        <v>1</v>
      </c>
      <c r="C145" s="89">
        <f t="shared" si="5"/>
        <v>2</v>
      </c>
      <c r="D145" s="57">
        <v>1</v>
      </c>
      <c r="E145" s="57">
        <v>0</v>
      </c>
      <c r="F145" s="57">
        <v>0</v>
      </c>
      <c r="G145" s="57">
        <v>2</v>
      </c>
      <c r="H145" s="57">
        <v>0</v>
      </c>
      <c r="I145" s="57">
        <v>0</v>
      </c>
      <c r="J145" s="57">
        <v>0</v>
      </c>
      <c r="K145" s="57">
        <v>0</v>
      </c>
      <c r="L145" s="57">
        <v>0</v>
      </c>
      <c r="M145" s="57">
        <v>0</v>
      </c>
      <c r="N145" s="57">
        <v>0</v>
      </c>
      <c r="O145" s="57">
        <v>0</v>
      </c>
      <c r="P145" s="57">
        <v>0</v>
      </c>
      <c r="Q145" s="57">
        <v>0</v>
      </c>
      <c r="R145" s="57">
        <v>0</v>
      </c>
      <c r="S145" s="57">
        <v>0</v>
      </c>
      <c r="T145" s="57">
        <v>0</v>
      </c>
      <c r="U145" s="57">
        <v>0</v>
      </c>
      <c r="V145" s="57">
        <v>0</v>
      </c>
      <c r="W145" s="57">
        <v>0</v>
      </c>
      <c r="X145" s="57">
        <v>0</v>
      </c>
      <c r="Y145" s="57">
        <v>0</v>
      </c>
      <c r="Z145" s="57">
        <v>0</v>
      </c>
      <c r="AA145" s="57">
        <v>0</v>
      </c>
      <c r="AB145" s="57">
        <v>0</v>
      </c>
      <c r="AC145" s="57">
        <v>0</v>
      </c>
      <c r="AD145" s="57">
        <v>0</v>
      </c>
      <c r="AE145" s="132">
        <v>0</v>
      </c>
    </row>
    <row r="146" spans="1:31">
      <c r="A146" s="127" t="s">
        <v>83</v>
      </c>
      <c r="B146" s="7">
        <f t="shared" si="4"/>
        <v>408</v>
      </c>
      <c r="C146" s="89">
        <f t="shared" si="5"/>
        <v>409</v>
      </c>
      <c r="D146" s="57">
        <v>87</v>
      </c>
      <c r="E146" s="57">
        <v>90</v>
      </c>
      <c r="F146" s="57">
        <v>318</v>
      </c>
      <c r="G146" s="57">
        <v>317</v>
      </c>
      <c r="H146" s="57">
        <v>0</v>
      </c>
      <c r="I146" s="57">
        <v>0</v>
      </c>
      <c r="J146" s="57">
        <v>0</v>
      </c>
      <c r="K146" s="57">
        <v>0</v>
      </c>
      <c r="L146" s="57">
        <v>0</v>
      </c>
      <c r="M146" s="57">
        <v>0</v>
      </c>
      <c r="N146" s="57">
        <v>0</v>
      </c>
      <c r="O146" s="57">
        <v>0</v>
      </c>
      <c r="P146" s="57">
        <v>2</v>
      </c>
      <c r="Q146" s="57">
        <v>2</v>
      </c>
      <c r="R146" s="57">
        <v>0</v>
      </c>
      <c r="S146" s="57">
        <v>0</v>
      </c>
      <c r="T146" s="57">
        <v>1</v>
      </c>
      <c r="U146" s="57">
        <v>0</v>
      </c>
      <c r="V146" s="57">
        <v>0</v>
      </c>
      <c r="W146" s="57">
        <v>0</v>
      </c>
      <c r="X146" s="57">
        <v>0</v>
      </c>
      <c r="Y146" s="57">
        <v>0</v>
      </c>
      <c r="Z146" s="57">
        <v>0</v>
      </c>
      <c r="AA146" s="57">
        <v>0</v>
      </c>
      <c r="AB146" s="57">
        <v>0</v>
      </c>
      <c r="AC146" s="57">
        <v>0</v>
      </c>
      <c r="AD146" s="57">
        <v>0</v>
      </c>
      <c r="AE146" s="132">
        <v>0</v>
      </c>
    </row>
    <row r="147" spans="1:31">
      <c r="A147" s="127" t="s">
        <v>218</v>
      </c>
      <c r="B147" s="7">
        <f t="shared" si="4"/>
        <v>4051</v>
      </c>
      <c r="C147" s="89">
        <f t="shared" si="5"/>
        <v>3974</v>
      </c>
      <c r="D147" s="57">
        <v>236</v>
      </c>
      <c r="E147" s="57">
        <v>254</v>
      </c>
      <c r="F147" s="57">
        <v>3200</v>
      </c>
      <c r="G147" s="57">
        <v>3085</v>
      </c>
      <c r="H147" s="57">
        <v>0</v>
      </c>
      <c r="I147" s="57">
        <v>0</v>
      </c>
      <c r="J147" s="57">
        <v>1</v>
      </c>
      <c r="K147" s="57">
        <v>0</v>
      </c>
      <c r="L147" s="57">
        <v>86</v>
      </c>
      <c r="M147" s="57">
        <v>80</v>
      </c>
      <c r="N147" s="57">
        <v>0</v>
      </c>
      <c r="O147" s="57">
        <v>0</v>
      </c>
      <c r="P147" s="57">
        <v>304</v>
      </c>
      <c r="Q147" s="57">
        <v>325</v>
      </c>
      <c r="R147" s="57">
        <v>2</v>
      </c>
      <c r="S147" s="57">
        <v>3</v>
      </c>
      <c r="T147" s="57">
        <v>217</v>
      </c>
      <c r="U147" s="57">
        <v>224</v>
      </c>
      <c r="V147" s="57">
        <v>0</v>
      </c>
      <c r="W147" s="57">
        <v>0</v>
      </c>
      <c r="X147" s="57">
        <v>3</v>
      </c>
      <c r="Y147" s="57">
        <v>2</v>
      </c>
      <c r="Z147" s="57">
        <v>1</v>
      </c>
      <c r="AA147" s="57">
        <v>1</v>
      </c>
      <c r="AB147" s="57">
        <v>0</v>
      </c>
      <c r="AC147" s="57">
        <v>0</v>
      </c>
      <c r="AD147" s="57">
        <v>1</v>
      </c>
      <c r="AE147" s="132">
        <v>0</v>
      </c>
    </row>
    <row r="148" spans="1:31">
      <c r="A148" s="127" t="s">
        <v>242</v>
      </c>
      <c r="B148" s="7">
        <f t="shared" si="4"/>
        <v>1912</v>
      </c>
      <c r="C148" s="89">
        <f t="shared" si="5"/>
        <v>1872</v>
      </c>
      <c r="D148" s="57">
        <v>316</v>
      </c>
      <c r="E148" s="57">
        <v>267</v>
      </c>
      <c r="F148" s="57">
        <v>1184</v>
      </c>
      <c r="G148" s="57">
        <v>1197</v>
      </c>
      <c r="H148" s="57">
        <v>0</v>
      </c>
      <c r="I148" s="57">
        <v>0</v>
      </c>
      <c r="J148" s="57">
        <v>0</v>
      </c>
      <c r="K148" s="57">
        <v>0</v>
      </c>
      <c r="L148" s="57">
        <v>19</v>
      </c>
      <c r="M148" s="57">
        <v>26</v>
      </c>
      <c r="N148" s="57">
        <v>1</v>
      </c>
      <c r="O148" s="57">
        <v>3</v>
      </c>
      <c r="P148" s="57">
        <v>260</v>
      </c>
      <c r="Q148" s="57">
        <v>212</v>
      </c>
      <c r="R148" s="57">
        <v>2</v>
      </c>
      <c r="S148" s="57">
        <v>2</v>
      </c>
      <c r="T148" s="57">
        <v>35</v>
      </c>
      <c r="U148" s="57">
        <v>58</v>
      </c>
      <c r="V148" s="57">
        <v>1</v>
      </c>
      <c r="W148" s="57">
        <v>1</v>
      </c>
      <c r="X148" s="57">
        <v>9</v>
      </c>
      <c r="Y148" s="57">
        <v>7</v>
      </c>
      <c r="Z148" s="57">
        <v>53</v>
      </c>
      <c r="AA148" s="57">
        <v>58</v>
      </c>
      <c r="AB148" s="57">
        <v>0</v>
      </c>
      <c r="AC148" s="57">
        <v>2</v>
      </c>
      <c r="AD148" s="57">
        <v>32</v>
      </c>
      <c r="AE148" s="132">
        <v>39</v>
      </c>
    </row>
    <row r="149" spans="1:31">
      <c r="A149" s="127" t="s">
        <v>168</v>
      </c>
      <c r="B149" s="7">
        <f t="shared" si="4"/>
        <v>49</v>
      </c>
      <c r="C149" s="89">
        <f t="shared" si="5"/>
        <v>48</v>
      </c>
      <c r="D149" s="57">
        <v>7</v>
      </c>
      <c r="E149" s="57">
        <v>4</v>
      </c>
      <c r="F149" s="57">
        <v>41</v>
      </c>
      <c r="G149" s="57">
        <v>43</v>
      </c>
      <c r="H149" s="57">
        <v>0</v>
      </c>
      <c r="I149" s="57">
        <v>0</v>
      </c>
      <c r="J149" s="57">
        <v>0</v>
      </c>
      <c r="K149" s="57">
        <v>0</v>
      </c>
      <c r="L149" s="57">
        <v>0</v>
      </c>
      <c r="M149" s="57">
        <v>0</v>
      </c>
      <c r="N149" s="57">
        <v>0</v>
      </c>
      <c r="O149" s="57">
        <v>0</v>
      </c>
      <c r="P149" s="57">
        <v>0</v>
      </c>
      <c r="Q149" s="57">
        <v>0</v>
      </c>
      <c r="R149" s="57">
        <v>0</v>
      </c>
      <c r="S149" s="57">
        <v>0</v>
      </c>
      <c r="T149" s="57">
        <v>1</v>
      </c>
      <c r="U149" s="57">
        <v>1</v>
      </c>
      <c r="V149" s="57">
        <v>0</v>
      </c>
      <c r="W149" s="57">
        <v>0</v>
      </c>
      <c r="X149" s="57">
        <v>0</v>
      </c>
      <c r="Y149" s="57">
        <v>0</v>
      </c>
      <c r="Z149" s="57">
        <v>0</v>
      </c>
      <c r="AA149" s="57">
        <v>0</v>
      </c>
      <c r="AB149" s="57">
        <v>0</v>
      </c>
      <c r="AC149" s="57">
        <v>0</v>
      </c>
      <c r="AD149" s="57">
        <v>0</v>
      </c>
      <c r="AE149" s="132">
        <v>0</v>
      </c>
    </row>
    <row r="150" spans="1:31">
      <c r="A150" s="127" t="s">
        <v>169</v>
      </c>
      <c r="B150" s="7">
        <f t="shared" si="4"/>
        <v>332</v>
      </c>
      <c r="C150" s="89">
        <f t="shared" si="5"/>
        <v>343</v>
      </c>
      <c r="D150" s="57">
        <v>43</v>
      </c>
      <c r="E150" s="57">
        <v>58</v>
      </c>
      <c r="F150" s="57">
        <v>282</v>
      </c>
      <c r="G150" s="57">
        <v>279</v>
      </c>
      <c r="H150" s="57">
        <v>0</v>
      </c>
      <c r="I150" s="57">
        <v>0</v>
      </c>
      <c r="J150" s="57">
        <v>0</v>
      </c>
      <c r="K150" s="57">
        <v>0</v>
      </c>
      <c r="L150" s="57">
        <v>1</v>
      </c>
      <c r="M150" s="57">
        <v>1</v>
      </c>
      <c r="N150" s="57">
        <v>0</v>
      </c>
      <c r="O150" s="57">
        <v>0</v>
      </c>
      <c r="P150" s="57">
        <v>5</v>
      </c>
      <c r="Q150" s="57">
        <v>5</v>
      </c>
      <c r="R150" s="57">
        <v>0</v>
      </c>
      <c r="S150" s="57">
        <v>0</v>
      </c>
      <c r="T150" s="57">
        <v>1</v>
      </c>
      <c r="U150" s="57">
        <v>0</v>
      </c>
      <c r="V150" s="57">
        <v>0</v>
      </c>
      <c r="W150" s="57">
        <v>0</v>
      </c>
      <c r="X150" s="57">
        <v>0</v>
      </c>
      <c r="Y150" s="57">
        <v>0</v>
      </c>
      <c r="Z150" s="57">
        <v>0</v>
      </c>
      <c r="AA150" s="57">
        <v>0</v>
      </c>
      <c r="AB150" s="57">
        <v>0</v>
      </c>
      <c r="AC150" s="57">
        <v>0</v>
      </c>
      <c r="AD150" s="57">
        <v>0</v>
      </c>
      <c r="AE150" s="132">
        <v>0</v>
      </c>
    </row>
    <row r="151" spans="1:31">
      <c r="A151" s="127" t="s">
        <v>375</v>
      </c>
      <c r="B151" s="7">
        <f t="shared" si="4"/>
        <v>8</v>
      </c>
      <c r="C151" s="89">
        <f t="shared" si="5"/>
        <v>8</v>
      </c>
      <c r="D151" s="57">
        <v>1</v>
      </c>
      <c r="E151" s="57">
        <v>0</v>
      </c>
      <c r="F151" s="57">
        <v>6</v>
      </c>
      <c r="G151" s="57">
        <v>7</v>
      </c>
      <c r="H151" s="57">
        <v>0</v>
      </c>
      <c r="I151" s="57">
        <v>0</v>
      </c>
      <c r="J151" s="57">
        <v>0</v>
      </c>
      <c r="K151" s="57">
        <v>0</v>
      </c>
      <c r="L151" s="57">
        <v>1</v>
      </c>
      <c r="M151" s="57">
        <v>1</v>
      </c>
      <c r="N151" s="57">
        <v>0</v>
      </c>
      <c r="O151" s="57">
        <v>0</v>
      </c>
      <c r="P151" s="57">
        <v>0</v>
      </c>
      <c r="Q151" s="57">
        <v>0</v>
      </c>
      <c r="R151" s="57">
        <v>0</v>
      </c>
      <c r="S151" s="57">
        <v>0</v>
      </c>
      <c r="T151" s="57">
        <v>0</v>
      </c>
      <c r="U151" s="57">
        <v>0</v>
      </c>
      <c r="V151" s="57">
        <v>0</v>
      </c>
      <c r="W151" s="57">
        <v>0</v>
      </c>
      <c r="X151" s="57">
        <v>0</v>
      </c>
      <c r="Y151" s="57">
        <v>0</v>
      </c>
      <c r="Z151" s="57">
        <v>0</v>
      </c>
      <c r="AA151" s="57">
        <v>0</v>
      </c>
      <c r="AB151" s="57">
        <v>0</v>
      </c>
      <c r="AC151" s="57">
        <v>0</v>
      </c>
      <c r="AD151" s="57">
        <v>0</v>
      </c>
      <c r="AE151" s="132">
        <v>0</v>
      </c>
    </row>
    <row r="152" spans="1:31">
      <c r="A152" s="127" t="s">
        <v>170</v>
      </c>
      <c r="B152" s="7">
        <f t="shared" si="4"/>
        <v>32</v>
      </c>
      <c r="C152" s="89">
        <f t="shared" si="5"/>
        <v>36</v>
      </c>
      <c r="D152" s="57">
        <v>3</v>
      </c>
      <c r="E152" s="57">
        <v>4</v>
      </c>
      <c r="F152" s="57">
        <v>19</v>
      </c>
      <c r="G152" s="57">
        <v>20</v>
      </c>
      <c r="H152" s="57">
        <v>0</v>
      </c>
      <c r="I152" s="57">
        <v>0</v>
      </c>
      <c r="J152" s="57">
        <v>0</v>
      </c>
      <c r="K152" s="57">
        <v>0</v>
      </c>
      <c r="L152" s="57">
        <v>5</v>
      </c>
      <c r="M152" s="57">
        <v>7</v>
      </c>
      <c r="N152" s="57">
        <v>0</v>
      </c>
      <c r="O152" s="57">
        <v>0</v>
      </c>
      <c r="P152" s="57">
        <v>0</v>
      </c>
      <c r="Q152" s="57">
        <v>0</v>
      </c>
      <c r="R152" s="57">
        <v>0</v>
      </c>
      <c r="S152" s="57">
        <v>0</v>
      </c>
      <c r="T152" s="57">
        <v>5</v>
      </c>
      <c r="U152" s="57">
        <v>5</v>
      </c>
      <c r="V152" s="57">
        <v>0</v>
      </c>
      <c r="W152" s="57">
        <v>0</v>
      </c>
      <c r="X152" s="57">
        <v>0</v>
      </c>
      <c r="Y152" s="57">
        <v>0</v>
      </c>
      <c r="Z152" s="57">
        <v>0</v>
      </c>
      <c r="AA152" s="57">
        <v>0</v>
      </c>
      <c r="AB152" s="57">
        <v>0</v>
      </c>
      <c r="AC152" s="57">
        <v>0</v>
      </c>
      <c r="AD152" s="57">
        <v>0</v>
      </c>
      <c r="AE152" s="132">
        <v>0</v>
      </c>
    </row>
    <row r="153" spans="1:31">
      <c r="A153" s="127" t="s">
        <v>29</v>
      </c>
      <c r="B153" s="7">
        <f t="shared" si="4"/>
        <v>88573</v>
      </c>
      <c r="C153" s="89">
        <f t="shared" si="5"/>
        <v>81281</v>
      </c>
      <c r="D153" s="57">
        <v>54</v>
      </c>
      <c r="E153" s="57">
        <v>47</v>
      </c>
      <c r="F153" s="57">
        <v>19416</v>
      </c>
      <c r="G153" s="57">
        <v>19921</v>
      </c>
      <c r="H153" s="57">
        <v>0</v>
      </c>
      <c r="I153" s="57">
        <v>1</v>
      </c>
      <c r="J153" s="57">
        <v>20</v>
      </c>
      <c r="K153" s="57">
        <v>17</v>
      </c>
      <c r="L153" s="57">
        <v>39551</v>
      </c>
      <c r="M153" s="57">
        <v>38073</v>
      </c>
      <c r="N153" s="57">
        <v>9059</v>
      </c>
      <c r="O153" s="57">
        <v>2517</v>
      </c>
      <c r="P153" s="57">
        <v>13482</v>
      </c>
      <c r="Q153" s="57">
        <v>14046</v>
      </c>
      <c r="R153" s="57">
        <v>46</v>
      </c>
      <c r="S153" s="57">
        <v>92</v>
      </c>
      <c r="T153" s="57">
        <v>6847</v>
      </c>
      <c r="U153" s="57">
        <v>6488</v>
      </c>
      <c r="V153" s="57">
        <v>2</v>
      </c>
      <c r="W153" s="57">
        <v>9</v>
      </c>
      <c r="X153" s="57">
        <v>31</v>
      </c>
      <c r="Y153" s="57">
        <v>15</v>
      </c>
      <c r="Z153" s="57">
        <v>2</v>
      </c>
      <c r="AA153" s="57">
        <v>2</v>
      </c>
      <c r="AB153" s="57">
        <v>4</v>
      </c>
      <c r="AC153" s="57">
        <v>2</v>
      </c>
      <c r="AD153" s="57">
        <v>59</v>
      </c>
      <c r="AE153" s="132">
        <v>51</v>
      </c>
    </row>
    <row r="154" spans="1:31">
      <c r="A154" s="127" t="s">
        <v>376</v>
      </c>
      <c r="B154" s="7">
        <f t="shared" si="4"/>
        <v>1</v>
      </c>
      <c r="C154" s="89">
        <f t="shared" si="5"/>
        <v>1</v>
      </c>
      <c r="D154" s="57">
        <v>1</v>
      </c>
      <c r="E154" s="57">
        <v>1</v>
      </c>
      <c r="F154" s="57">
        <v>0</v>
      </c>
      <c r="G154" s="57">
        <v>0</v>
      </c>
      <c r="H154" s="57">
        <v>0</v>
      </c>
      <c r="I154" s="57">
        <v>0</v>
      </c>
      <c r="J154" s="57">
        <v>0</v>
      </c>
      <c r="K154" s="57">
        <v>0</v>
      </c>
      <c r="L154" s="57">
        <v>0</v>
      </c>
      <c r="M154" s="57">
        <v>0</v>
      </c>
      <c r="N154" s="57">
        <v>0</v>
      </c>
      <c r="O154" s="57">
        <v>0</v>
      </c>
      <c r="P154" s="57">
        <v>0</v>
      </c>
      <c r="Q154" s="57">
        <v>0</v>
      </c>
      <c r="R154" s="57">
        <v>0</v>
      </c>
      <c r="S154" s="57">
        <v>0</v>
      </c>
      <c r="T154" s="57">
        <v>0</v>
      </c>
      <c r="U154" s="57">
        <v>0</v>
      </c>
      <c r="V154" s="57">
        <v>0</v>
      </c>
      <c r="W154" s="57">
        <v>0</v>
      </c>
      <c r="X154" s="57">
        <v>0</v>
      </c>
      <c r="Y154" s="57">
        <v>0</v>
      </c>
      <c r="Z154" s="57">
        <v>0</v>
      </c>
      <c r="AA154" s="57">
        <v>0</v>
      </c>
      <c r="AB154" s="57">
        <v>0</v>
      </c>
      <c r="AC154" s="57">
        <v>0</v>
      </c>
      <c r="AD154" s="57">
        <v>0</v>
      </c>
      <c r="AE154" s="132">
        <v>0</v>
      </c>
    </row>
    <row r="155" spans="1:31">
      <c r="A155" s="127" t="s">
        <v>128</v>
      </c>
      <c r="B155" s="7">
        <f t="shared" si="4"/>
        <v>907</v>
      </c>
      <c r="C155" s="89">
        <f t="shared" si="5"/>
        <v>929</v>
      </c>
      <c r="D155" s="57">
        <v>14</v>
      </c>
      <c r="E155" s="57">
        <v>13</v>
      </c>
      <c r="F155" s="57">
        <v>842</v>
      </c>
      <c r="G155" s="57">
        <v>863</v>
      </c>
      <c r="H155" s="57">
        <v>0</v>
      </c>
      <c r="I155" s="57">
        <v>0</v>
      </c>
      <c r="J155" s="57">
        <v>0</v>
      </c>
      <c r="K155" s="57">
        <v>0</v>
      </c>
      <c r="L155" s="57">
        <v>11</v>
      </c>
      <c r="M155" s="57">
        <v>17</v>
      </c>
      <c r="N155" s="57">
        <v>0</v>
      </c>
      <c r="O155" s="57">
        <v>0</v>
      </c>
      <c r="P155" s="57">
        <v>22</v>
      </c>
      <c r="Q155" s="57">
        <v>15</v>
      </c>
      <c r="R155" s="57">
        <v>2</v>
      </c>
      <c r="S155" s="57">
        <v>2</v>
      </c>
      <c r="T155" s="57">
        <v>16</v>
      </c>
      <c r="U155" s="57">
        <v>19</v>
      </c>
      <c r="V155" s="57">
        <v>0</v>
      </c>
      <c r="W155" s="57">
        <v>0</v>
      </c>
      <c r="X155" s="57">
        <v>0</v>
      </c>
      <c r="Y155" s="57">
        <v>0</v>
      </c>
      <c r="Z155" s="57">
        <v>0</v>
      </c>
      <c r="AA155" s="57">
        <v>0</v>
      </c>
      <c r="AB155" s="57">
        <v>0</v>
      </c>
      <c r="AC155" s="57">
        <v>0</v>
      </c>
      <c r="AD155" s="57">
        <v>0</v>
      </c>
      <c r="AE155" s="132">
        <v>0</v>
      </c>
    </row>
    <row r="156" spans="1:31">
      <c r="A156" s="127" t="s">
        <v>129</v>
      </c>
      <c r="B156" s="7">
        <f t="shared" si="4"/>
        <v>20480</v>
      </c>
      <c r="C156" s="89">
        <f t="shared" si="5"/>
        <v>20327</v>
      </c>
      <c r="D156" s="57">
        <v>241</v>
      </c>
      <c r="E156" s="57">
        <v>232</v>
      </c>
      <c r="F156" s="57">
        <v>18825</v>
      </c>
      <c r="G156" s="57">
        <v>18461</v>
      </c>
      <c r="H156" s="57">
        <v>2</v>
      </c>
      <c r="I156" s="57">
        <v>0</v>
      </c>
      <c r="J156" s="57">
        <v>3</v>
      </c>
      <c r="K156" s="57">
        <v>6</v>
      </c>
      <c r="L156" s="57">
        <v>272</v>
      </c>
      <c r="M156" s="57">
        <v>258</v>
      </c>
      <c r="N156" s="57">
        <v>0</v>
      </c>
      <c r="O156" s="57">
        <v>0</v>
      </c>
      <c r="P156" s="57">
        <v>493</v>
      </c>
      <c r="Q156" s="57">
        <v>679</v>
      </c>
      <c r="R156" s="57">
        <v>295</v>
      </c>
      <c r="S156" s="57">
        <v>347</v>
      </c>
      <c r="T156" s="57">
        <v>322</v>
      </c>
      <c r="U156" s="57">
        <v>327</v>
      </c>
      <c r="V156" s="57">
        <v>1</v>
      </c>
      <c r="W156" s="57">
        <v>2</v>
      </c>
      <c r="X156" s="57">
        <v>12</v>
      </c>
      <c r="Y156" s="57">
        <v>7</v>
      </c>
      <c r="Z156" s="57">
        <v>5</v>
      </c>
      <c r="AA156" s="57">
        <v>2</v>
      </c>
      <c r="AB156" s="57">
        <v>0</v>
      </c>
      <c r="AC156" s="57">
        <v>1</v>
      </c>
      <c r="AD156" s="57">
        <v>9</v>
      </c>
      <c r="AE156" s="132">
        <v>5</v>
      </c>
    </row>
    <row r="157" spans="1:31">
      <c r="A157" s="127" t="s">
        <v>220</v>
      </c>
      <c r="B157" s="7">
        <f t="shared" si="4"/>
        <v>7446</v>
      </c>
      <c r="C157" s="89">
        <f t="shared" si="5"/>
        <v>7658</v>
      </c>
      <c r="D157" s="57">
        <v>713</v>
      </c>
      <c r="E157" s="57">
        <v>890</v>
      </c>
      <c r="F157" s="57">
        <v>5627</v>
      </c>
      <c r="G157" s="57">
        <v>5665</v>
      </c>
      <c r="H157" s="57">
        <v>0</v>
      </c>
      <c r="I157" s="57">
        <v>0</v>
      </c>
      <c r="J157" s="57">
        <v>0</v>
      </c>
      <c r="K157" s="57">
        <v>0</v>
      </c>
      <c r="L157" s="57">
        <v>183</v>
      </c>
      <c r="M157" s="57">
        <v>160</v>
      </c>
      <c r="N157" s="57">
        <v>2</v>
      </c>
      <c r="O157" s="57">
        <v>2</v>
      </c>
      <c r="P157" s="57">
        <v>518</v>
      </c>
      <c r="Q157" s="57">
        <v>617</v>
      </c>
      <c r="R157" s="57">
        <v>25</v>
      </c>
      <c r="S157" s="57">
        <v>26</v>
      </c>
      <c r="T157" s="57">
        <v>357</v>
      </c>
      <c r="U157" s="57">
        <v>268</v>
      </c>
      <c r="V157" s="57">
        <v>7</v>
      </c>
      <c r="W157" s="57">
        <v>6</v>
      </c>
      <c r="X157" s="57">
        <v>5</v>
      </c>
      <c r="Y157" s="57">
        <v>7</v>
      </c>
      <c r="Z157" s="57">
        <v>6</v>
      </c>
      <c r="AA157" s="57">
        <v>8</v>
      </c>
      <c r="AB157" s="57">
        <v>0</v>
      </c>
      <c r="AC157" s="57">
        <v>4</v>
      </c>
      <c r="AD157" s="57">
        <v>3</v>
      </c>
      <c r="AE157" s="132">
        <v>5</v>
      </c>
    </row>
    <row r="158" spans="1:31">
      <c r="A158" s="127" t="s">
        <v>221</v>
      </c>
      <c r="B158" s="7">
        <f t="shared" si="4"/>
        <v>5687</v>
      </c>
      <c r="C158" s="89">
        <f t="shared" si="5"/>
        <v>5803</v>
      </c>
      <c r="D158" s="57">
        <v>225</v>
      </c>
      <c r="E158" s="57">
        <v>239</v>
      </c>
      <c r="F158" s="57">
        <v>4959</v>
      </c>
      <c r="G158" s="57">
        <v>5084</v>
      </c>
      <c r="H158" s="57">
        <v>1</v>
      </c>
      <c r="I158" s="57">
        <v>0</v>
      </c>
      <c r="J158" s="57">
        <v>2</v>
      </c>
      <c r="K158" s="57">
        <v>3</v>
      </c>
      <c r="L158" s="57">
        <v>67</v>
      </c>
      <c r="M158" s="57">
        <v>78</v>
      </c>
      <c r="N158" s="57">
        <v>0</v>
      </c>
      <c r="O158" s="57">
        <v>1</v>
      </c>
      <c r="P158" s="57">
        <v>192</v>
      </c>
      <c r="Q158" s="57">
        <v>185</v>
      </c>
      <c r="R158" s="57">
        <v>5</v>
      </c>
      <c r="S158" s="57">
        <v>1</v>
      </c>
      <c r="T158" s="57">
        <v>194</v>
      </c>
      <c r="U158" s="57">
        <v>191</v>
      </c>
      <c r="V158" s="57">
        <v>0</v>
      </c>
      <c r="W158" s="57">
        <v>1</v>
      </c>
      <c r="X158" s="57">
        <v>36</v>
      </c>
      <c r="Y158" s="57">
        <v>13</v>
      </c>
      <c r="Z158" s="57">
        <v>4</v>
      </c>
      <c r="AA158" s="57">
        <v>3</v>
      </c>
      <c r="AB158" s="57">
        <v>0</v>
      </c>
      <c r="AC158" s="57">
        <v>0</v>
      </c>
      <c r="AD158" s="57">
        <v>2</v>
      </c>
      <c r="AE158" s="132">
        <v>4</v>
      </c>
    </row>
    <row r="159" spans="1:31">
      <c r="A159" s="127" t="s">
        <v>130</v>
      </c>
      <c r="B159" s="7">
        <f t="shared" si="4"/>
        <v>1</v>
      </c>
      <c r="C159" s="89">
        <f t="shared" si="5"/>
        <v>1</v>
      </c>
      <c r="D159" s="57">
        <v>0</v>
      </c>
      <c r="E159" s="57">
        <v>0</v>
      </c>
      <c r="F159" s="57">
        <v>1</v>
      </c>
      <c r="G159" s="57">
        <v>1</v>
      </c>
      <c r="H159" s="57">
        <v>0</v>
      </c>
      <c r="I159" s="57">
        <v>0</v>
      </c>
      <c r="J159" s="57">
        <v>0</v>
      </c>
      <c r="K159" s="57">
        <v>0</v>
      </c>
      <c r="L159" s="57">
        <v>0</v>
      </c>
      <c r="M159" s="57">
        <v>0</v>
      </c>
      <c r="N159" s="57">
        <v>0</v>
      </c>
      <c r="O159" s="57">
        <v>0</v>
      </c>
      <c r="P159" s="57">
        <v>0</v>
      </c>
      <c r="Q159" s="57">
        <v>0</v>
      </c>
      <c r="R159" s="57">
        <v>0</v>
      </c>
      <c r="S159" s="57">
        <v>0</v>
      </c>
      <c r="T159" s="57">
        <v>0</v>
      </c>
      <c r="U159" s="57">
        <v>0</v>
      </c>
      <c r="V159" s="57">
        <v>0</v>
      </c>
      <c r="W159" s="57">
        <v>0</v>
      </c>
      <c r="X159" s="57">
        <v>0</v>
      </c>
      <c r="Y159" s="57">
        <v>0</v>
      </c>
      <c r="Z159" s="57">
        <v>0</v>
      </c>
      <c r="AA159" s="57">
        <v>0</v>
      </c>
      <c r="AB159" s="57">
        <v>0</v>
      </c>
      <c r="AC159" s="57">
        <v>0</v>
      </c>
      <c r="AD159" s="57">
        <v>0</v>
      </c>
      <c r="AE159" s="132">
        <v>0</v>
      </c>
    </row>
    <row r="160" spans="1:31">
      <c r="A160" s="127" t="s">
        <v>171</v>
      </c>
      <c r="B160" s="7">
        <f t="shared" si="4"/>
        <v>29</v>
      </c>
      <c r="C160" s="89">
        <f t="shared" si="5"/>
        <v>33</v>
      </c>
      <c r="D160" s="57">
        <v>0</v>
      </c>
      <c r="E160" s="57">
        <v>0</v>
      </c>
      <c r="F160" s="57">
        <v>29</v>
      </c>
      <c r="G160" s="57">
        <v>33</v>
      </c>
      <c r="H160" s="57">
        <v>0</v>
      </c>
      <c r="I160" s="57">
        <v>0</v>
      </c>
      <c r="J160" s="57">
        <v>0</v>
      </c>
      <c r="K160" s="57">
        <v>0</v>
      </c>
      <c r="L160" s="57">
        <v>0</v>
      </c>
      <c r="M160" s="57">
        <v>0</v>
      </c>
      <c r="N160" s="57">
        <v>0</v>
      </c>
      <c r="O160" s="57">
        <v>0</v>
      </c>
      <c r="P160" s="57">
        <v>0</v>
      </c>
      <c r="Q160" s="57">
        <v>0</v>
      </c>
      <c r="R160" s="57">
        <v>0</v>
      </c>
      <c r="S160" s="57">
        <v>0</v>
      </c>
      <c r="T160" s="57">
        <v>0</v>
      </c>
      <c r="U160" s="57">
        <v>0</v>
      </c>
      <c r="V160" s="57">
        <v>0</v>
      </c>
      <c r="W160" s="57">
        <v>0</v>
      </c>
      <c r="X160" s="57">
        <v>0</v>
      </c>
      <c r="Y160" s="57">
        <v>0</v>
      </c>
      <c r="Z160" s="57">
        <v>0</v>
      </c>
      <c r="AA160" s="57">
        <v>0</v>
      </c>
      <c r="AB160" s="57">
        <v>0</v>
      </c>
      <c r="AC160" s="57">
        <v>0</v>
      </c>
      <c r="AD160" s="57">
        <v>0</v>
      </c>
      <c r="AE160" s="132">
        <v>0</v>
      </c>
    </row>
    <row r="161" spans="1:31">
      <c r="A161" s="127" t="s">
        <v>223</v>
      </c>
      <c r="B161" s="7">
        <f t="shared" si="4"/>
        <v>81387</v>
      </c>
      <c r="C161" s="89">
        <f t="shared" si="5"/>
        <v>80666</v>
      </c>
      <c r="D161" s="57">
        <v>18098</v>
      </c>
      <c r="E161" s="57">
        <v>18569</v>
      </c>
      <c r="F161" s="57">
        <v>55448</v>
      </c>
      <c r="G161" s="57">
        <v>54632</v>
      </c>
      <c r="H161" s="57">
        <v>0</v>
      </c>
      <c r="I161" s="57">
        <v>0</v>
      </c>
      <c r="J161" s="57">
        <v>8</v>
      </c>
      <c r="K161" s="57">
        <v>6</v>
      </c>
      <c r="L161" s="57">
        <v>544</v>
      </c>
      <c r="M161" s="57">
        <v>665</v>
      </c>
      <c r="N161" s="57">
        <v>6</v>
      </c>
      <c r="O161" s="57">
        <v>14</v>
      </c>
      <c r="P161" s="57">
        <v>4858</v>
      </c>
      <c r="Q161" s="57">
        <v>3861</v>
      </c>
      <c r="R161" s="57">
        <v>87</v>
      </c>
      <c r="S161" s="57">
        <v>82</v>
      </c>
      <c r="T161" s="57">
        <v>1883</v>
      </c>
      <c r="U161" s="57">
        <v>2371</v>
      </c>
      <c r="V161" s="57">
        <v>22</v>
      </c>
      <c r="W161" s="57">
        <v>30</v>
      </c>
      <c r="X161" s="57">
        <v>58</v>
      </c>
      <c r="Y161" s="57">
        <v>29</v>
      </c>
      <c r="Z161" s="57">
        <v>156</v>
      </c>
      <c r="AA161" s="57">
        <v>170</v>
      </c>
      <c r="AB161" s="57">
        <v>15</v>
      </c>
      <c r="AC161" s="57">
        <v>31</v>
      </c>
      <c r="AD161" s="57">
        <v>204</v>
      </c>
      <c r="AE161" s="132">
        <v>206</v>
      </c>
    </row>
    <row r="162" spans="1:31">
      <c r="A162" s="127" t="s">
        <v>399</v>
      </c>
      <c r="B162" s="7">
        <f t="shared" si="4"/>
        <v>1</v>
      </c>
      <c r="C162" s="89">
        <f t="shared" si="5"/>
        <v>1</v>
      </c>
      <c r="D162" s="57">
        <v>0</v>
      </c>
      <c r="E162" s="57">
        <v>0</v>
      </c>
      <c r="F162" s="57">
        <v>1</v>
      </c>
      <c r="G162" s="57">
        <v>1</v>
      </c>
      <c r="H162" s="57">
        <v>0</v>
      </c>
      <c r="I162" s="57">
        <v>0</v>
      </c>
      <c r="J162" s="57">
        <v>0</v>
      </c>
      <c r="K162" s="57">
        <v>0</v>
      </c>
      <c r="L162" s="57">
        <v>0</v>
      </c>
      <c r="M162" s="57">
        <v>0</v>
      </c>
      <c r="N162" s="57">
        <v>0</v>
      </c>
      <c r="O162" s="57">
        <v>0</v>
      </c>
      <c r="P162" s="57">
        <v>0</v>
      </c>
      <c r="Q162" s="57">
        <v>0</v>
      </c>
      <c r="R162" s="57">
        <v>0</v>
      </c>
      <c r="S162" s="57">
        <v>0</v>
      </c>
      <c r="T162" s="57">
        <v>0</v>
      </c>
      <c r="U162" s="57">
        <v>0</v>
      </c>
      <c r="V162" s="57">
        <v>0</v>
      </c>
      <c r="W162" s="57">
        <v>0</v>
      </c>
      <c r="X162" s="57">
        <v>0</v>
      </c>
      <c r="Y162" s="57">
        <v>0</v>
      </c>
      <c r="Z162" s="57">
        <v>0</v>
      </c>
      <c r="AA162" s="57">
        <v>0</v>
      </c>
      <c r="AB162" s="57">
        <v>0</v>
      </c>
      <c r="AC162" s="57">
        <v>0</v>
      </c>
      <c r="AD162" s="57">
        <v>0</v>
      </c>
      <c r="AE162" s="132">
        <v>0</v>
      </c>
    </row>
    <row r="163" spans="1:31">
      <c r="A163" s="127" t="s">
        <v>324</v>
      </c>
      <c r="B163" s="7">
        <f t="shared" si="4"/>
        <v>5942</v>
      </c>
      <c r="C163" s="89">
        <f t="shared" si="5"/>
        <v>6021</v>
      </c>
      <c r="D163" s="57">
        <v>329</v>
      </c>
      <c r="E163" s="57">
        <v>482</v>
      </c>
      <c r="F163" s="57">
        <v>4884</v>
      </c>
      <c r="G163" s="57">
        <v>4875</v>
      </c>
      <c r="H163" s="57">
        <v>0</v>
      </c>
      <c r="I163" s="57">
        <v>0</v>
      </c>
      <c r="J163" s="57">
        <v>0</v>
      </c>
      <c r="K163" s="57">
        <v>0</v>
      </c>
      <c r="L163" s="57">
        <v>131</v>
      </c>
      <c r="M163" s="57">
        <v>101</v>
      </c>
      <c r="N163" s="57">
        <v>0</v>
      </c>
      <c r="O163" s="57">
        <v>2</v>
      </c>
      <c r="P163" s="57">
        <v>313</v>
      </c>
      <c r="Q163" s="57">
        <v>288</v>
      </c>
      <c r="R163" s="57">
        <v>32</v>
      </c>
      <c r="S163" s="57">
        <v>23</v>
      </c>
      <c r="T163" s="57">
        <v>250</v>
      </c>
      <c r="U163" s="57">
        <v>245</v>
      </c>
      <c r="V163" s="57">
        <v>0</v>
      </c>
      <c r="W163" s="57">
        <v>0</v>
      </c>
      <c r="X163" s="57">
        <v>0</v>
      </c>
      <c r="Y163" s="57">
        <v>1</v>
      </c>
      <c r="Z163" s="57">
        <v>1</v>
      </c>
      <c r="AA163" s="57">
        <v>1</v>
      </c>
      <c r="AB163" s="57">
        <v>1</v>
      </c>
      <c r="AC163" s="57">
        <v>1</v>
      </c>
      <c r="AD163" s="57">
        <v>1</v>
      </c>
      <c r="AE163" s="132">
        <v>2</v>
      </c>
    </row>
    <row r="164" spans="1:31">
      <c r="A164" s="127" t="s">
        <v>35</v>
      </c>
      <c r="B164" s="7">
        <f t="shared" si="4"/>
        <v>4608</v>
      </c>
      <c r="C164" s="89">
        <f t="shared" si="5"/>
        <v>4769</v>
      </c>
      <c r="D164" s="57">
        <v>186</v>
      </c>
      <c r="E164" s="57">
        <v>193</v>
      </c>
      <c r="F164" s="57">
        <v>4281</v>
      </c>
      <c r="G164" s="57">
        <v>4397</v>
      </c>
      <c r="H164" s="57">
        <v>0</v>
      </c>
      <c r="I164" s="57">
        <v>0</v>
      </c>
      <c r="J164" s="57">
        <v>0</v>
      </c>
      <c r="K164" s="57">
        <v>0</v>
      </c>
      <c r="L164" s="57">
        <v>25</v>
      </c>
      <c r="M164" s="57">
        <v>28</v>
      </c>
      <c r="N164" s="57">
        <v>0</v>
      </c>
      <c r="O164" s="57">
        <v>0</v>
      </c>
      <c r="P164" s="57">
        <v>85</v>
      </c>
      <c r="Q164" s="57">
        <v>107</v>
      </c>
      <c r="R164" s="57">
        <v>11</v>
      </c>
      <c r="S164" s="57">
        <v>19</v>
      </c>
      <c r="T164" s="57">
        <v>19</v>
      </c>
      <c r="U164" s="57">
        <v>25</v>
      </c>
      <c r="V164" s="57">
        <v>0</v>
      </c>
      <c r="W164" s="57">
        <v>0</v>
      </c>
      <c r="X164" s="57">
        <v>0</v>
      </c>
      <c r="Y164" s="57">
        <v>0</v>
      </c>
      <c r="Z164" s="57">
        <v>0</v>
      </c>
      <c r="AA164" s="57">
        <v>0</v>
      </c>
      <c r="AB164" s="57">
        <v>0</v>
      </c>
      <c r="AC164" s="57">
        <v>0</v>
      </c>
      <c r="AD164" s="57">
        <v>1</v>
      </c>
      <c r="AE164" s="132">
        <v>0</v>
      </c>
    </row>
    <row r="165" spans="1:31">
      <c r="A165" s="127" t="s">
        <v>226</v>
      </c>
      <c r="B165" s="7">
        <f t="shared" si="4"/>
        <v>2118</v>
      </c>
      <c r="C165" s="89">
        <f t="shared" si="5"/>
        <v>2092</v>
      </c>
      <c r="D165" s="57">
        <v>176</v>
      </c>
      <c r="E165" s="57">
        <v>221</v>
      </c>
      <c r="F165" s="57">
        <v>1587</v>
      </c>
      <c r="G165" s="57">
        <v>1554</v>
      </c>
      <c r="H165" s="57">
        <v>0</v>
      </c>
      <c r="I165" s="57">
        <v>0</v>
      </c>
      <c r="J165" s="57">
        <v>0</v>
      </c>
      <c r="K165" s="57">
        <v>0</v>
      </c>
      <c r="L165" s="57">
        <v>40</v>
      </c>
      <c r="M165" s="57">
        <v>99</v>
      </c>
      <c r="N165" s="57">
        <v>0</v>
      </c>
      <c r="O165" s="57">
        <v>0</v>
      </c>
      <c r="P165" s="57">
        <v>187</v>
      </c>
      <c r="Q165" s="57">
        <v>123</v>
      </c>
      <c r="R165" s="57">
        <v>2</v>
      </c>
      <c r="S165" s="57">
        <v>3</v>
      </c>
      <c r="T165" s="57">
        <v>95</v>
      </c>
      <c r="U165" s="57">
        <v>50</v>
      </c>
      <c r="V165" s="57">
        <v>9</v>
      </c>
      <c r="W165" s="57">
        <v>9</v>
      </c>
      <c r="X165" s="57">
        <v>8</v>
      </c>
      <c r="Y165" s="57">
        <v>4</v>
      </c>
      <c r="Z165" s="57">
        <v>5</v>
      </c>
      <c r="AA165" s="57">
        <v>15</v>
      </c>
      <c r="AB165" s="57">
        <v>0</v>
      </c>
      <c r="AC165" s="57">
        <v>0</v>
      </c>
      <c r="AD165" s="57">
        <v>9</v>
      </c>
      <c r="AE165" s="132">
        <v>14</v>
      </c>
    </row>
    <row r="166" spans="1:31">
      <c r="A166" s="127" t="s">
        <v>329</v>
      </c>
      <c r="B166" s="7">
        <f t="shared" si="4"/>
        <v>20</v>
      </c>
      <c r="C166" s="89">
        <f t="shared" si="5"/>
        <v>17</v>
      </c>
      <c r="D166" s="57">
        <v>0</v>
      </c>
      <c r="E166" s="57">
        <v>0</v>
      </c>
      <c r="F166" s="57">
        <v>19</v>
      </c>
      <c r="G166" s="57">
        <v>17</v>
      </c>
      <c r="H166" s="57">
        <v>0</v>
      </c>
      <c r="I166" s="57">
        <v>0</v>
      </c>
      <c r="J166" s="57">
        <v>0</v>
      </c>
      <c r="K166" s="57">
        <v>0</v>
      </c>
      <c r="L166" s="57">
        <v>0</v>
      </c>
      <c r="M166" s="57">
        <v>0</v>
      </c>
      <c r="N166" s="57">
        <v>0</v>
      </c>
      <c r="O166" s="57">
        <v>0</v>
      </c>
      <c r="P166" s="57">
        <v>0</v>
      </c>
      <c r="Q166" s="57">
        <v>0</v>
      </c>
      <c r="R166" s="57">
        <v>0</v>
      </c>
      <c r="S166" s="57">
        <v>0</v>
      </c>
      <c r="T166" s="57">
        <v>1</v>
      </c>
      <c r="U166" s="57">
        <v>0</v>
      </c>
      <c r="V166" s="57">
        <v>0</v>
      </c>
      <c r="W166" s="57">
        <v>0</v>
      </c>
      <c r="X166" s="57">
        <v>0</v>
      </c>
      <c r="Y166" s="57">
        <v>0</v>
      </c>
      <c r="Z166" s="57">
        <v>0</v>
      </c>
      <c r="AA166" s="57">
        <v>0</v>
      </c>
      <c r="AB166" s="57">
        <v>0</v>
      </c>
      <c r="AC166" s="57">
        <v>0</v>
      </c>
      <c r="AD166" s="57">
        <v>0</v>
      </c>
      <c r="AE166" s="132">
        <v>0</v>
      </c>
    </row>
    <row r="167" spans="1:31">
      <c r="A167" s="127" t="s">
        <v>202</v>
      </c>
      <c r="B167" s="7">
        <f t="shared" si="4"/>
        <v>4687</v>
      </c>
      <c r="C167" s="89">
        <f t="shared" si="5"/>
        <v>4483</v>
      </c>
      <c r="D167" s="57">
        <v>397</v>
      </c>
      <c r="E167" s="57">
        <v>467</v>
      </c>
      <c r="F167" s="57">
        <v>3484</v>
      </c>
      <c r="G167" s="57">
        <v>3258</v>
      </c>
      <c r="H167" s="57">
        <v>0</v>
      </c>
      <c r="I167" s="57">
        <v>0</v>
      </c>
      <c r="J167" s="57">
        <v>6</v>
      </c>
      <c r="K167" s="57">
        <v>3</v>
      </c>
      <c r="L167" s="57">
        <v>173</v>
      </c>
      <c r="M167" s="57">
        <v>142</v>
      </c>
      <c r="N167" s="57">
        <v>2</v>
      </c>
      <c r="O167" s="57">
        <v>2</v>
      </c>
      <c r="P167" s="57">
        <v>452</v>
      </c>
      <c r="Q167" s="57">
        <v>452</v>
      </c>
      <c r="R167" s="57">
        <v>22</v>
      </c>
      <c r="S167" s="57">
        <v>24</v>
      </c>
      <c r="T167" s="57">
        <v>80</v>
      </c>
      <c r="U167" s="57">
        <v>58</v>
      </c>
      <c r="V167" s="57">
        <v>59</v>
      </c>
      <c r="W167" s="57">
        <v>65</v>
      </c>
      <c r="X167" s="57">
        <v>8</v>
      </c>
      <c r="Y167" s="57">
        <v>4</v>
      </c>
      <c r="Z167" s="57">
        <v>2</v>
      </c>
      <c r="AA167" s="57">
        <v>1</v>
      </c>
      <c r="AB167" s="57">
        <v>2</v>
      </c>
      <c r="AC167" s="57">
        <v>4</v>
      </c>
      <c r="AD167" s="57">
        <v>0</v>
      </c>
      <c r="AE167" s="132">
        <v>3</v>
      </c>
    </row>
    <row r="168" spans="1:31">
      <c r="A168" s="127" t="s">
        <v>132</v>
      </c>
      <c r="B168" s="7">
        <f t="shared" si="4"/>
        <v>123</v>
      </c>
      <c r="C168" s="89">
        <f t="shared" si="5"/>
        <v>125</v>
      </c>
      <c r="D168" s="57">
        <v>21</v>
      </c>
      <c r="E168" s="57">
        <v>19</v>
      </c>
      <c r="F168" s="57">
        <v>94</v>
      </c>
      <c r="G168" s="57">
        <v>97</v>
      </c>
      <c r="H168" s="57">
        <v>0</v>
      </c>
      <c r="I168" s="57">
        <v>0</v>
      </c>
      <c r="J168" s="57">
        <v>1</v>
      </c>
      <c r="K168" s="57">
        <v>4</v>
      </c>
      <c r="L168" s="57">
        <v>2</v>
      </c>
      <c r="M168" s="57">
        <v>2</v>
      </c>
      <c r="N168" s="57">
        <v>1</v>
      </c>
      <c r="O168" s="57">
        <v>1</v>
      </c>
      <c r="P168" s="57">
        <v>1</v>
      </c>
      <c r="Q168" s="57">
        <v>1</v>
      </c>
      <c r="R168" s="57">
        <v>0</v>
      </c>
      <c r="S168" s="57">
        <v>0</v>
      </c>
      <c r="T168" s="57">
        <v>0</v>
      </c>
      <c r="U168" s="57">
        <v>1</v>
      </c>
      <c r="V168" s="57">
        <v>0</v>
      </c>
      <c r="W168" s="57">
        <v>0</v>
      </c>
      <c r="X168" s="57">
        <v>0</v>
      </c>
      <c r="Y168" s="57">
        <v>0</v>
      </c>
      <c r="Z168" s="57">
        <v>0</v>
      </c>
      <c r="AA168" s="57">
        <v>0</v>
      </c>
      <c r="AB168" s="57">
        <v>0</v>
      </c>
      <c r="AC168" s="57">
        <v>0</v>
      </c>
      <c r="AD168" s="57">
        <v>3</v>
      </c>
      <c r="AE168" s="132">
        <v>0</v>
      </c>
    </row>
    <row r="169" spans="1:31">
      <c r="A169" s="127" t="s">
        <v>377</v>
      </c>
      <c r="B169" s="7">
        <f t="shared" si="4"/>
        <v>3</v>
      </c>
      <c r="C169" s="89">
        <f t="shared" si="5"/>
        <v>3</v>
      </c>
      <c r="D169" s="57">
        <v>0</v>
      </c>
      <c r="E169" s="57">
        <v>0</v>
      </c>
      <c r="F169" s="57">
        <v>3</v>
      </c>
      <c r="G169" s="57">
        <v>3</v>
      </c>
      <c r="H169" s="57">
        <v>0</v>
      </c>
      <c r="I169" s="57">
        <v>0</v>
      </c>
      <c r="J169" s="57">
        <v>0</v>
      </c>
      <c r="K169" s="57">
        <v>0</v>
      </c>
      <c r="L169" s="57">
        <v>0</v>
      </c>
      <c r="M169" s="57">
        <v>0</v>
      </c>
      <c r="N169" s="57">
        <v>0</v>
      </c>
      <c r="O169" s="57">
        <v>0</v>
      </c>
      <c r="P169" s="57">
        <v>0</v>
      </c>
      <c r="Q169" s="57">
        <v>0</v>
      </c>
      <c r="R169" s="57">
        <v>0</v>
      </c>
      <c r="S169" s="57">
        <v>0</v>
      </c>
      <c r="T169" s="57">
        <v>0</v>
      </c>
      <c r="U169" s="57">
        <v>0</v>
      </c>
      <c r="V169" s="57">
        <v>0</v>
      </c>
      <c r="W169" s="57">
        <v>0</v>
      </c>
      <c r="X169" s="57">
        <v>0</v>
      </c>
      <c r="Y169" s="57">
        <v>0</v>
      </c>
      <c r="Z169" s="57">
        <v>0</v>
      </c>
      <c r="AA169" s="57">
        <v>0</v>
      </c>
      <c r="AB169" s="57">
        <v>0</v>
      </c>
      <c r="AC169" s="57">
        <v>0</v>
      </c>
      <c r="AD169" s="57">
        <v>0</v>
      </c>
      <c r="AE169" s="132">
        <v>0</v>
      </c>
    </row>
    <row r="170" spans="1:31">
      <c r="A170" s="127" t="s">
        <v>227</v>
      </c>
      <c r="B170" s="7">
        <f t="shared" si="4"/>
        <v>20</v>
      </c>
      <c r="C170" s="89">
        <f t="shared" si="5"/>
        <v>26</v>
      </c>
      <c r="D170" s="57">
        <v>5</v>
      </c>
      <c r="E170" s="57">
        <v>9</v>
      </c>
      <c r="F170" s="57">
        <v>10</v>
      </c>
      <c r="G170" s="57">
        <v>13</v>
      </c>
      <c r="H170" s="57">
        <v>0</v>
      </c>
      <c r="I170" s="57">
        <v>0</v>
      </c>
      <c r="J170" s="57">
        <v>0</v>
      </c>
      <c r="K170" s="57">
        <v>0</v>
      </c>
      <c r="L170" s="57">
        <v>0</v>
      </c>
      <c r="M170" s="57">
        <v>0</v>
      </c>
      <c r="N170" s="57">
        <v>0</v>
      </c>
      <c r="O170" s="57">
        <v>0</v>
      </c>
      <c r="P170" s="57">
        <v>3</v>
      </c>
      <c r="Q170" s="57">
        <v>2</v>
      </c>
      <c r="R170" s="57">
        <v>0</v>
      </c>
      <c r="S170" s="57">
        <v>0</v>
      </c>
      <c r="T170" s="57">
        <v>2</v>
      </c>
      <c r="U170" s="57">
        <v>2</v>
      </c>
      <c r="V170" s="57">
        <v>0</v>
      </c>
      <c r="W170" s="57">
        <v>0</v>
      </c>
      <c r="X170" s="57">
        <v>0</v>
      </c>
      <c r="Y170" s="57">
        <v>0</v>
      </c>
      <c r="Z170" s="57">
        <v>0</v>
      </c>
      <c r="AA170" s="57">
        <v>0</v>
      </c>
      <c r="AB170" s="57">
        <v>0</v>
      </c>
      <c r="AC170" s="57">
        <v>0</v>
      </c>
      <c r="AD170" s="57">
        <v>0</v>
      </c>
      <c r="AE170" s="132">
        <v>0</v>
      </c>
    </row>
    <row r="171" spans="1:31">
      <c r="A171" s="127" t="s">
        <v>134</v>
      </c>
      <c r="B171" s="7">
        <f t="shared" si="4"/>
        <v>47</v>
      </c>
      <c r="C171" s="89">
        <f t="shared" si="5"/>
        <v>49</v>
      </c>
      <c r="D171" s="57">
        <v>10</v>
      </c>
      <c r="E171" s="57">
        <v>11</v>
      </c>
      <c r="F171" s="57">
        <v>32</v>
      </c>
      <c r="G171" s="57">
        <v>34</v>
      </c>
      <c r="H171" s="57">
        <v>0</v>
      </c>
      <c r="I171" s="57">
        <v>0</v>
      </c>
      <c r="J171" s="57">
        <v>0</v>
      </c>
      <c r="K171" s="57">
        <v>0</v>
      </c>
      <c r="L171" s="57">
        <v>0</v>
      </c>
      <c r="M171" s="57">
        <v>0</v>
      </c>
      <c r="N171" s="57">
        <v>0</v>
      </c>
      <c r="O171" s="57">
        <v>0</v>
      </c>
      <c r="P171" s="57">
        <v>0</v>
      </c>
      <c r="Q171" s="57">
        <v>0</v>
      </c>
      <c r="R171" s="57">
        <v>0</v>
      </c>
      <c r="S171" s="57">
        <v>0</v>
      </c>
      <c r="T171" s="57">
        <v>4</v>
      </c>
      <c r="U171" s="57">
        <v>4</v>
      </c>
      <c r="V171" s="57">
        <v>0</v>
      </c>
      <c r="W171" s="57">
        <v>0</v>
      </c>
      <c r="X171" s="57">
        <v>1</v>
      </c>
      <c r="Y171" s="57">
        <v>0</v>
      </c>
      <c r="Z171" s="57">
        <v>0</v>
      </c>
      <c r="AA171" s="57">
        <v>0</v>
      </c>
      <c r="AB171" s="57">
        <v>0</v>
      </c>
      <c r="AC171" s="57">
        <v>0</v>
      </c>
      <c r="AD171" s="57">
        <v>0</v>
      </c>
      <c r="AE171" s="132">
        <v>0</v>
      </c>
    </row>
    <row r="172" spans="1:31">
      <c r="A172" s="127" t="s">
        <v>135</v>
      </c>
      <c r="B172" s="7">
        <f t="shared" si="4"/>
        <v>64</v>
      </c>
      <c r="C172" s="89">
        <f t="shared" si="5"/>
        <v>64</v>
      </c>
      <c r="D172" s="57">
        <v>14</v>
      </c>
      <c r="E172" s="57">
        <v>14</v>
      </c>
      <c r="F172" s="57">
        <v>44</v>
      </c>
      <c r="G172" s="57">
        <v>42</v>
      </c>
      <c r="H172" s="57">
        <v>0</v>
      </c>
      <c r="I172" s="57">
        <v>0</v>
      </c>
      <c r="J172" s="57">
        <v>0</v>
      </c>
      <c r="K172" s="57">
        <v>0</v>
      </c>
      <c r="L172" s="57">
        <v>1</v>
      </c>
      <c r="M172" s="57">
        <v>0</v>
      </c>
      <c r="N172" s="57">
        <v>0</v>
      </c>
      <c r="O172" s="57">
        <v>0</v>
      </c>
      <c r="P172" s="57">
        <v>3</v>
      </c>
      <c r="Q172" s="57">
        <v>4</v>
      </c>
      <c r="R172" s="57">
        <v>0</v>
      </c>
      <c r="S172" s="57">
        <v>0</v>
      </c>
      <c r="T172" s="57">
        <v>2</v>
      </c>
      <c r="U172" s="57">
        <v>3</v>
      </c>
      <c r="V172" s="57">
        <v>0</v>
      </c>
      <c r="W172" s="57">
        <v>0</v>
      </c>
      <c r="X172" s="57">
        <v>0</v>
      </c>
      <c r="Y172" s="57">
        <v>1</v>
      </c>
      <c r="Z172" s="57">
        <v>0</v>
      </c>
      <c r="AA172" s="57">
        <v>0</v>
      </c>
      <c r="AB172" s="57">
        <v>0</v>
      </c>
      <c r="AC172" s="57">
        <v>0</v>
      </c>
      <c r="AD172" s="57">
        <v>0</v>
      </c>
      <c r="AE172" s="132">
        <v>0</v>
      </c>
    </row>
    <row r="173" spans="1:31">
      <c r="A173" s="127" t="s">
        <v>378</v>
      </c>
      <c r="B173" s="7">
        <f t="shared" si="4"/>
        <v>5</v>
      </c>
      <c r="C173" s="89">
        <f t="shared" si="5"/>
        <v>5</v>
      </c>
      <c r="D173" s="57">
        <v>0</v>
      </c>
      <c r="E173" s="57">
        <v>0</v>
      </c>
      <c r="F173" s="57">
        <v>5</v>
      </c>
      <c r="G173" s="57">
        <v>5</v>
      </c>
      <c r="H173" s="57">
        <v>0</v>
      </c>
      <c r="I173" s="57">
        <v>0</v>
      </c>
      <c r="J173" s="57">
        <v>0</v>
      </c>
      <c r="K173" s="57">
        <v>0</v>
      </c>
      <c r="L173" s="57">
        <v>0</v>
      </c>
      <c r="M173" s="57">
        <v>0</v>
      </c>
      <c r="N173" s="57">
        <v>0</v>
      </c>
      <c r="O173" s="57">
        <v>0</v>
      </c>
      <c r="P173" s="57">
        <v>0</v>
      </c>
      <c r="Q173" s="57">
        <v>0</v>
      </c>
      <c r="R173" s="57">
        <v>0</v>
      </c>
      <c r="S173" s="57">
        <v>0</v>
      </c>
      <c r="T173" s="57">
        <v>0</v>
      </c>
      <c r="U173" s="57">
        <v>0</v>
      </c>
      <c r="V173" s="57">
        <v>0</v>
      </c>
      <c r="W173" s="57">
        <v>0</v>
      </c>
      <c r="X173" s="57">
        <v>0</v>
      </c>
      <c r="Y173" s="57">
        <v>0</v>
      </c>
      <c r="Z173" s="57">
        <v>0</v>
      </c>
      <c r="AA173" s="57">
        <v>0</v>
      </c>
      <c r="AB173" s="57">
        <v>0</v>
      </c>
      <c r="AC173" s="57">
        <v>0</v>
      </c>
      <c r="AD173" s="57">
        <v>0</v>
      </c>
      <c r="AE173" s="132">
        <v>0</v>
      </c>
    </row>
    <row r="174" spans="1:31">
      <c r="A174" s="127" t="s">
        <v>90</v>
      </c>
      <c r="B174" s="7">
        <f t="shared" si="4"/>
        <v>32</v>
      </c>
      <c r="C174" s="89">
        <f t="shared" si="5"/>
        <v>33</v>
      </c>
      <c r="D174" s="57">
        <v>4</v>
      </c>
      <c r="E174" s="57">
        <v>4</v>
      </c>
      <c r="F174" s="57">
        <v>28</v>
      </c>
      <c r="G174" s="57">
        <v>29</v>
      </c>
      <c r="H174" s="57">
        <v>0</v>
      </c>
      <c r="I174" s="57">
        <v>0</v>
      </c>
      <c r="J174" s="57">
        <v>0</v>
      </c>
      <c r="K174" s="57">
        <v>0</v>
      </c>
      <c r="L174" s="57">
        <v>0</v>
      </c>
      <c r="M174" s="57">
        <v>0</v>
      </c>
      <c r="N174" s="57">
        <v>0</v>
      </c>
      <c r="O174" s="57">
        <v>0</v>
      </c>
      <c r="P174" s="57">
        <v>0</v>
      </c>
      <c r="Q174" s="57">
        <v>0</v>
      </c>
      <c r="R174" s="57">
        <v>0</v>
      </c>
      <c r="S174" s="57">
        <v>0</v>
      </c>
      <c r="T174" s="57">
        <v>0</v>
      </c>
      <c r="U174" s="57">
        <v>0</v>
      </c>
      <c r="V174" s="57">
        <v>0</v>
      </c>
      <c r="W174" s="57">
        <v>0</v>
      </c>
      <c r="X174" s="57">
        <v>0</v>
      </c>
      <c r="Y174" s="57">
        <v>0</v>
      </c>
      <c r="Z174" s="57">
        <v>0</v>
      </c>
      <c r="AA174" s="57">
        <v>0</v>
      </c>
      <c r="AB174" s="57">
        <v>0</v>
      </c>
      <c r="AC174" s="57">
        <v>0</v>
      </c>
      <c r="AD174" s="57">
        <v>0</v>
      </c>
      <c r="AE174" s="132">
        <v>0</v>
      </c>
    </row>
    <row r="175" spans="1:31">
      <c r="A175" s="127" t="s">
        <v>379</v>
      </c>
      <c r="B175" s="7">
        <f t="shared" si="4"/>
        <v>374</v>
      </c>
      <c r="C175" s="89">
        <f t="shared" si="5"/>
        <v>372</v>
      </c>
      <c r="D175" s="57">
        <v>53</v>
      </c>
      <c r="E175" s="57">
        <v>56</v>
      </c>
      <c r="F175" s="57">
        <v>290</v>
      </c>
      <c r="G175" s="57">
        <v>278</v>
      </c>
      <c r="H175" s="57">
        <v>0</v>
      </c>
      <c r="I175" s="57">
        <v>0</v>
      </c>
      <c r="J175" s="57">
        <v>0</v>
      </c>
      <c r="K175" s="57">
        <v>0</v>
      </c>
      <c r="L175" s="57">
        <v>1</v>
      </c>
      <c r="M175" s="57">
        <v>4</v>
      </c>
      <c r="N175" s="57">
        <v>0</v>
      </c>
      <c r="O175" s="57">
        <v>0</v>
      </c>
      <c r="P175" s="57">
        <v>14</v>
      </c>
      <c r="Q175" s="57">
        <v>19</v>
      </c>
      <c r="R175" s="57">
        <v>1</v>
      </c>
      <c r="S175" s="57">
        <v>0</v>
      </c>
      <c r="T175" s="57">
        <v>8</v>
      </c>
      <c r="U175" s="57">
        <v>9</v>
      </c>
      <c r="V175" s="57">
        <v>0</v>
      </c>
      <c r="W175" s="57">
        <v>2</v>
      </c>
      <c r="X175" s="57">
        <v>5</v>
      </c>
      <c r="Y175" s="57">
        <v>3</v>
      </c>
      <c r="Z175" s="57">
        <v>1</v>
      </c>
      <c r="AA175" s="57">
        <v>1</v>
      </c>
      <c r="AB175" s="57">
        <v>0</v>
      </c>
      <c r="AC175" s="57">
        <v>0</v>
      </c>
      <c r="AD175" s="57">
        <v>1</v>
      </c>
      <c r="AE175" s="132">
        <v>0</v>
      </c>
    </row>
    <row r="176" spans="1:31">
      <c r="A176" s="127" t="s">
        <v>91</v>
      </c>
      <c r="B176" s="7">
        <f t="shared" si="4"/>
        <v>10</v>
      </c>
      <c r="C176" s="89">
        <f t="shared" si="5"/>
        <v>6</v>
      </c>
      <c r="D176" s="57">
        <v>1</v>
      </c>
      <c r="E176" s="57">
        <v>1</v>
      </c>
      <c r="F176" s="57">
        <v>8</v>
      </c>
      <c r="G176" s="57">
        <v>4</v>
      </c>
      <c r="H176" s="57">
        <v>0</v>
      </c>
      <c r="I176" s="57">
        <v>0</v>
      </c>
      <c r="J176" s="57">
        <v>0</v>
      </c>
      <c r="K176" s="57">
        <v>0</v>
      </c>
      <c r="L176" s="57">
        <v>0</v>
      </c>
      <c r="M176" s="57">
        <v>0</v>
      </c>
      <c r="N176" s="57">
        <v>0</v>
      </c>
      <c r="O176" s="57">
        <v>0</v>
      </c>
      <c r="P176" s="57">
        <v>0</v>
      </c>
      <c r="Q176" s="57">
        <v>1</v>
      </c>
      <c r="R176" s="57">
        <v>0</v>
      </c>
      <c r="S176" s="57">
        <v>0</v>
      </c>
      <c r="T176" s="57">
        <v>1</v>
      </c>
      <c r="U176" s="57">
        <v>0</v>
      </c>
      <c r="V176" s="57">
        <v>0</v>
      </c>
      <c r="W176" s="57">
        <v>0</v>
      </c>
      <c r="X176" s="57">
        <v>0</v>
      </c>
      <c r="Y176" s="57">
        <v>0</v>
      </c>
      <c r="Z176" s="57">
        <v>0</v>
      </c>
      <c r="AA176" s="57">
        <v>0</v>
      </c>
      <c r="AB176" s="57">
        <v>0</v>
      </c>
      <c r="AC176" s="57">
        <v>0</v>
      </c>
      <c r="AD176" s="57">
        <v>0</v>
      </c>
      <c r="AE176" s="132">
        <v>0</v>
      </c>
    </row>
    <row r="177" spans="1:31">
      <c r="A177" s="127" t="s">
        <v>92</v>
      </c>
      <c r="B177" s="7">
        <f t="shared" si="4"/>
        <v>20</v>
      </c>
      <c r="C177" s="89">
        <f t="shared" si="5"/>
        <v>21</v>
      </c>
      <c r="D177" s="57">
        <v>7</v>
      </c>
      <c r="E177" s="57">
        <v>8</v>
      </c>
      <c r="F177" s="57">
        <v>13</v>
      </c>
      <c r="G177" s="57">
        <v>13</v>
      </c>
      <c r="H177" s="57">
        <v>0</v>
      </c>
      <c r="I177" s="57">
        <v>0</v>
      </c>
      <c r="J177" s="57">
        <v>0</v>
      </c>
      <c r="K177" s="57">
        <v>0</v>
      </c>
      <c r="L177" s="57">
        <v>0</v>
      </c>
      <c r="M177" s="57">
        <v>0</v>
      </c>
      <c r="N177" s="57">
        <v>0</v>
      </c>
      <c r="O177" s="57">
        <v>0</v>
      </c>
      <c r="P177" s="57">
        <v>0</v>
      </c>
      <c r="Q177" s="57">
        <v>0</v>
      </c>
      <c r="R177" s="57">
        <v>0</v>
      </c>
      <c r="S177" s="57">
        <v>0</v>
      </c>
      <c r="T177" s="57">
        <v>0</v>
      </c>
      <c r="U177" s="57">
        <v>0</v>
      </c>
      <c r="V177" s="57">
        <v>0</v>
      </c>
      <c r="W177" s="57">
        <v>0</v>
      </c>
      <c r="X177" s="57">
        <v>0</v>
      </c>
      <c r="Y177" s="57">
        <v>0</v>
      </c>
      <c r="Z177" s="57">
        <v>0</v>
      </c>
      <c r="AA177" s="57">
        <v>0</v>
      </c>
      <c r="AB177" s="57">
        <v>0</v>
      </c>
      <c r="AC177" s="57">
        <v>0</v>
      </c>
      <c r="AD177" s="57">
        <v>0</v>
      </c>
      <c r="AE177" s="132">
        <v>0</v>
      </c>
    </row>
    <row r="178" spans="1:31">
      <c r="A178" s="127" t="s">
        <v>176</v>
      </c>
      <c r="B178" s="7">
        <f t="shared" si="4"/>
        <v>400</v>
      </c>
      <c r="C178" s="89">
        <f t="shared" si="5"/>
        <v>399</v>
      </c>
      <c r="D178" s="57">
        <v>128</v>
      </c>
      <c r="E178" s="57">
        <v>129</v>
      </c>
      <c r="F178" s="57">
        <v>237</v>
      </c>
      <c r="G178" s="57">
        <v>235</v>
      </c>
      <c r="H178" s="57">
        <v>0</v>
      </c>
      <c r="I178" s="57">
        <v>0</v>
      </c>
      <c r="J178" s="57">
        <v>0</v>
      </c>
      <c r="K178" s="57">
        <v>0</v>
      </c>
      <c r="L178" s="57">
        <v>2</v>
      </c>
      <c r="M178" s="57">
        <v>1</v>
      </c>
      <c r="N178" s="57">
        <v>0</v>
      </c>
      <c r="O178" s="57">
        <v>0</v>
      </c>
      <c r="P178" s="57">
        <v>25</v>
      </c>
      <c r="Q178" s="57">
        <v>28</v>
      </c>
      <c r="R178" s="57">
        <v>0</v>
      </c>
      <c r="S178" s="57">
        <v>0</v>
      </c>
      <c r="T178" s="57">
        <v>7</v>
      </c>
      <c r="U178" s="57">
        <v>4</v>
      </c>
      <c r="V178" s="57">
        <v>1</v>
      </c>
      <c r="W178" s="57">
        <v>1</v>
      </c>
      <c r="X178" s="57">
        <v>0</v>
      </c>
      <c r="Y178" s="57">
        <v>1</v>
      </c>
      <c r="Z178" s="57">
        <v>0</v>
      </c>
      <c r="AA178" s="57">
        <v>0</v>
      </c>
      <c r="AB178" s="57">
        <v>0</v>
      </c>
      <c r="AC178" s="57">
        <v>0</v>
      </c>
      <c r="AD178" s="57">
        <v>0</v>
      </c>
      <c r="AE178" s="132">
        <v>0</v>
      </c>
    </row>
    <row r="179" spans="1:31">
      <c r="A179" s="127" t="s">
        <v>177</v>
      </c>
      <c r="B179" s="7">
        <f t="shared" si="4"/>
        <v>33</v>
      </c>
      <c r="C179" s="89">
        <f t="shared" si="5"/>
        <v>26</v>
      </c>
      <c r="D179" s="57">
        <v>5</v>
      </c>
      <c r="E179" s="57">
        <v>5</v>
      </c>
      <c r="F179" s="57">
        <v>28</v>
      </c>
      <c r="G179" s="57">
        <v>21</v>
      </c>
      <c r="H179" s="57">
        <v>0</v>
      </c>
      <c r="I179" s="57">
        <v>0</v>
      </c>
      <c r="J179" s="57">
        <v>0</v>
      </c>
      <c r="K179" s="57">
        <v>0</v>
      </c>
      <c r="L179" s="57">
        <v>0</v>
      </c>
      <c r="M179" s="57">
        <v>0</v>
      </c>
      <c r="N179" s="57">
        <v>0</v>
      </c>
      <c r="O179" s="57">
        <v>0</v>
      </c>
      <c r="P179" s="57">
        <v>0</v>
      </c>
      <c r="Q179" s="57">
        <v>0</v>
      </c>
      <c r="R179" s="57">
        <v>0</v>
      </c>
      <c r="S179" s="57">
        <v>0</v>
      </c>
      <c r="T179" s="57">
        <v>0</v>
      </c>
      <c r="U179" s="57">
        <v>0</v>
      </c>
      <c r="V179" s="57">
        <v>0</v>
      </c>
      <c r="W179" s="57">
        <v>0</v>
      </c>
      <c r="X179" s="57">
        <v>0</v>
      </c>
      <c r="Y179" s="57">
        <v>0</v>
      </c>
      <c r="Z179" s="57">
        <v>0</v>
      </c>
      <c r="AA179" s="57">
        <v>0</v>
      </c>
      <c r="AB179" s="57">
        <v>0</v>
      </c>
      <c r="AC179" s="57">
        <v>0</v>
      </c>
      <c r="AD179" s="57">
        <v>0</v>
      </c>
      <c r="AE179" s="132">
        <v>0</v>
      </c>
    </row>
    <row r="180" spans="1:31">
      <c r="A180" s="127" t="s">
        <v>93</v>
      </c>
      <c r="B180" s="7">
        <f t="shared" si="4"/>
        <v>5</v>
      </c>
      <c r="C180" s="89">
        <f t="shared" si="5"/>
        <v>4</v>
      </c>
      <c r="D180" s="57">
        <v>0</v>
      </c>
      <c r="E180" s="57">
        <v>0</v>
      </c>
      <c r="F180" s="57">
        <v>5</v>
      </c>
      <c r="G180" s="57">
        <v>4</v>
      </c>
      <c r="H180" s="57">
        <v>0</v>
      </c>
      <c r="I180" s="57">
        <v>0</v>
      </c>
      <c r="J180" s="57">
        <v>0</v>
      </c>
      <c r="K180" s="57">
        <v>0</v>
      </c>
      <c r="L180" s="57">
        <v>0</v>
      </c>
      <c r="M180" s="57">
        <v>0</v>
      </c>
      <c r="N180" s="57">
        <v>0</v>
      </c>
      <c r="O180" s="57">
        <v>0</v>
      </c>
      <c r="P180" s="57">
        <v>0</v>
      </c>
      <c r="Q180" s="57">
        <v>0</v>
      </c>
      <c r="R180" s="57">
        <v>0</v>
      </c>
      <c r="S180" s="57">
        <v>0</v>
      </c>
      <c r="T180" s="57">
        <v>0</v>
      </c>
      <c r="U180" s="57">
        <v>0</v>
      </c>
      <c r="V180" s="57">
        <v>0</v>
      </c>
      <c r="W180" s="57">
        <v>0</v>
      </c>
      <c r="X180" s="57">
        <v>0</v>
      </c>
      <c r="Y180" s="57">
        <v>0</v>
      </c>
      <c r="Z180" s="57">
        <v>0</v>
      </c>
      <c r="AA180" s="57">
        <v>0</v>
      </c>
      <c r="AB180" s="57">
        <v>0</v>
      </c>
      <c r="AC180" s="57">
        <v>0</v>
      </c>
      <c r="AD180" s="57">
        <v>0</v>
      </c>
      <c r="AE180" s="132">
        <v>0</v>
      </c>
    </row>
    <row r="181" spans="1:31">
      <c r="A181" s="127" t="s">
        <v>178</v>
      </c>
      <c r="B181" s="7">
        <f t="shared" si="4"/>
        <v>83</v>
      </c>
      <c r="C181" s="89">
        <f t="shared" si="5"/>
        <v>79</v>
      </c>
      <c r="D181" s="57">
        <v>16</v>
      </c>
      <c r="E181" s="57">
        <v>16</v>
      </c>
      <c r="F181" s="57">
        <v>59</v>
      </c>
      <c r="G181" s="57">
        <v>59</v>
      </c>
      <c r="H181" s="57">
        <v>0</v>
      </c>
      <c r="I181" s="57">
        <v>0</v>
      </c>
      <c r="J181" s="57">
        <v>0</v>
      </c>
      <c r="K181" s="57">
        <v>0</v>
      </c>
      <c r="L181" s="57">
        <v>0</v>
      </c>
      <c r="M181" s="57">
        <v>0</v>
      </c>
      <c r="N181" s="57">
        <v>0</v>
      </c>
      <c r="O181" s="57">
        <v>0</v>
      </c>
      <c r="P181" s="57">
        <v>1</v>
      </c>
      <c r="Q181" s="57">
        <v>1</v>
      </c>
      <c r="R181" s="57">
        <v>0</v>
      </c>
      <c r="S181" s="57">
        <v>0</v>
      </c>
      <c r="T181" s="57">
        <v>2</v>
      </c>
      <c r="U181" s="57">
        <v>1</v>
      </c>
      <c r="V181" s="57">
        <v>3</v>
      </c>
      <c r="W181" s="57">
        <v>0</v>
      </c>
      <c r="X181" s="57">
        <v>0</v>
      </c>
      <c r="Y181" s="57">
        <v>0</v>
      </c>
      <c r="Z181" s="57">
        <v>0</v>
      </c>
      <c r="AA181" s="57">
        <v>0</v>
      </c>
      <c r="AB181" s="57">
        <v>0</v>
      </c>
      <c r="AC181" s="57">
        <v>0</v>
      </c>
      <c r="AD181" s="57">
        <v>2</v>
      </c>
      <c r="AE181" s="132">
        <v>2</v>
      </c>
    </row>
    <row r="182" spans="1:31">
      <c r="A182" s="127" t="s">
        <v>94</v>
      </c>
      <c r="B182" s="7">
        <f t="shared" si="4"/>
        <v>1827</v>
      </c>
      <c r="C182" s="89">
        <f t="shared" si="5"/>
        <v>1851</v>
      </c>
      <c r="D182" s="57">
        <v>202</v>
      </c>
      <c r="E182" s="57">
        <v>200</v>
      </c>
      <c r="F182" s="57">
        <v>1150</v>
      </c>
      <c r="G182" s="57">
        <v>1147</v>
      </c>
      <c r="H182" s="57">
        <v>0</v>
      </c>
      <c r="I182" s="57">
        <v>0</v>
      </c>
      <c r="J182" s="57">
        <v>2</v>
      </c>
      <c r="K182" s="57">
        <v>3</v>
      </c>
      <c r="L182" s="57">
        <v>82</v>
      </c>
      <c r="M182" s="57">
        <v>75</v>
      </c>
      <c r="N182" s="57">
        <v>1</v>
      </c>
      <c r="O182" s="57">
        <v>3</v>
      </c>
      <c r="P182" s="57">
        <v>160</v>
      </c>
      <c r="Q182" s="57">
        <v>179</v>
      </c>
      <c r="R182" s="57">
        <v>8</v>
      </c>
      <c r="S182" s="57">
        <v>7</v>
      </c>
      <c r="T182" s="57">
        <v>66</v>
      </c>
      <c r="U182" s="57">
        <v>65</v>
      </c>
      <c r="V182" s="57">
        <v>8</v>
      </c>
      <c r="W182" s="57">
        <v>7</v>
      </c>
      <c r="X182" s="57">
        <v>10</v>
      </c>
      <c r="Y182" s="57">
        <v>13</v>
      </c>
      <c r="Z182" s="57">
        <v>88</v>
      </c>
      <c r="AA182" s="57">
        <v>88</v>
      </c>
      <c r="AB182" s="57">
        <v>13</v>
      </c>
      <c r="AC182" s="57">
        <v>24</v>
      </c>
      <c r="AD182" s="57">
        <v>37</v>
      </c>
      <c r="AE182" s="132">
        <v>40</v>
      </c>
    </row>
    <row r="183" spans="1:31">
      <c r="A183" s="127" t="s">
        <v>96</v>
      </c>
      <c r="B183" s="7">
        <f t="shared" si="4"/>
        <v>19</v>
      </c>
      <c r="C183" s="89">
        <f t="shared" si="5"/>
        <v>20</v>
      </c>
      <c r="D183" s="57">
        <v>6</v>
      </c>
      <c r="E183" s="57">
        <v>5</v>
      </c>
      <c r="F183" s="57">
        <v>12</v>
      </c>
      <c r="G183" s="57">
        <v>14</v>
      </c>
      <c r="H183" s="57">
        <v>0</v>
      </c>
      <c r="I183" s="57">
        <v>0</v>
      </c>
      <c r="J183" s="57">
        <v>0</v>
      </c>
      <c r="K183" s="57">
        <v>0</v>
      </c>
      <c r="L183" s="57">
        <v>0</v>
      </c>
      <c r="M183" s="57">
        <v>0</v>
      </c>
      <c r="N183" s="57">
        <v>0</v>
      </c>
      <c r="O183" s="57">
        <v>0</v>
      </c>
      <c r="P183" s="57">
        <v>0</v>
      </c>
      <c r="Q183" s="57">
        <v>1</v>
      </c>
      <c r="R183" s="57">
        <v>0</v>
      </c>
      <c r="S183" s="57">
        <v>0</v>
      </c>
      <c r="T183" s="57">
        <v>1</v>
      </c>
      <c r="U183" s="57">
        <v>0</v>
      </c>
      <c r="V183" s="57">
        <v>0</v>
      </c>
      <c r="W183" s="57">
        <v>0</v>
      </c>
      <c r="X183" s="57">
        <v>0</v>
      </c>
      <c r="Y183" s="57">
        <v>0</v>
      </c>
      <c r="Z183" s="57">
        <v>0</v>
      </c>
      <c r="AA183" s="57">
        <v>0</v>
      </c>
      <c r="AB183" s="57">
        <v>0</v>
      </c>
      <c r="AC183" s="57">
        <v>0</v>
      </c>
      <c r="AD183" s="57">
        <v>0</v>
      </c>
      <c r="AE183" s="132">
        <v>0</v>
      </c>
    </row>
    <row r="184" spans="1:31">
      <c r="A184" s="127" t="s">
        <v>380</v>
      </c>
      <c r="B184" s="7">
        <f t="shared" si="4"/>
        <v>2</v>
      </c>
      <c r="C184" s="89">
        <f t="shared" si="5"/>
        <v>3</v>
      </c>
      <c r="D184" s="57">
        <v>0</v>
      </c>
      <c r="E184" s="57">
        <v>0</v>
      </c>
      <c r="F184" s="57">
        <v>2</v>
      </c>
      <c r="G184" s="57">
        <v>3</v>
      </c>
      <c r="H184" s="57">
        <v>0</v>
      </c>
      <c r="I184" s="57">
        <v>0</v>
      </c>
      <c r="J184" s="57">
        <v>0</v>
      </c>
      <c r="K184" s="57">
        <v>0</v>
      </c>
      <c r="L184" s="57">
        <v>0</v>
      </c>
      <c r="M184" s="57">
        <v>0</v>
      </c>
      <c r="N184" s="57">
        <v>0</v>
      </c>
      <c r="O184" s="57">
        <v>0</v>
      </c>
      <c r="P184" s="57">
        <v>0</v>
      </c>
      <c r="Q184" s="57">
        <v>0</v>
      </c>
      <c r="R184" s="57">
        <v>0</v>
      </c>
      <c r="S184" s="57">
        <v>0</v>
      </c>
      <c r="T184" s="57">
        <v>0</v>
      </c>
      <c r="U184" s="57">
        <v>0</v>
      </c>
      <c r="V184" s="57">
        <v>0</v>
      </c>
      <c r="W184" s="57">
        <v>0</v>
      </c>
      <c r="X184" s="57">
        <v>0</v>
      </c>
      <c r="Y184" s="57">
        <v>0</v>
      </c>
      <c r="Z184" s="57">
        <v>0</v>
      </c>
      <c r="AA184" s="57">
        <v>0</v>
      </c>
      <c r="AB184" s="57">
        <v>0</v>
      </c>
      <c r="AC184" s="57">
        <v>0</v>
      </c>
      <c r="AD184" s="57">
        <v>0</v>
      </c>
      <c r="AE184" s="132">
        <v>0</v>
      </c>
    </row>
    <row r="185" spans="1:31">
      <c r="A185" s="127" t="s">
        <v>230</v>
      </c>
      <c r="B185" s="7">
        <f t="shared" si="4"/>
        <v>8159</v>
      </c>
      <c r="C185" s="89">
        <f t="shared" si="5"/>
        <v>7989</v>
      </c>
      <c r="D185" s="57">
        <v>629</v>
      </c>
      <c r="E185" s="57">
        <v>689</v>
      </c>
      <c r="F185" s="57">
        <v>6515</v>
      </c>
      <c r="G185" s="57">
        <v>6179</v>
      </c>
      <c r="H185" s="57">
        <v>0</v>
      </c>
      <c r="I185" s="57">
        <v>0</v>
      </c>
      <c r="J185" s="57">
        <v>3</v>
      </c>
      <c r="K185" s="57">
        <v>5</v>
      </c>
      <c r="L185" s="57">
        <v>76</v>
      </c>
      <c r="M185" s="57">
        <v>83</v>
      </c>
      <c r="N185" s="57">
        <v>1</v>
      </c>
      <c r="O185" s="57">
        <v>3</v>
      </c>
      <c r="P185" s="57">
        <v>492</v>
      </c>
      <c r="Q185" s="57">
        <v>558</v>
      </c>
      <c r="R185" s="57">
        <v>6</v>
      </c>
      <c r="S185" s="57">
        <v>3</v>
      </c>
      <c r="T185" s="57">
        <v>415</v>
      </c>
      <c r="U185" s="57">
        <v>452</v>
      </c>
      <c r="V185" s="57">
        <v>2</v>
      </c>
      <c r="W185" s="57">
        <v>0</v>
      </c>
      <c r="X185" s="57">
        <v>2</v>
      </c>
      <c r="Y185" s="57">
        <v>2</v>
      </c>
      <c r="Z185" s="57">
        <v>5</v>
      </c>
      <c r="AA185" s="57">
        <v>13</v>
      </c>
      <c r="AB185" s="57">
        <v>1</v>
      </c>
      <c r="AC185" s="57">
        <v>0</v>
      </c>
      <c r="AD185" s="57">
        <v>12</v>
      </c>
      <c r="AE185" s="132">
        <v>2</v>
      </c>
    </row>
    <row r="186" spans="1:31">
      <c r="A186" s="127" t="s">
        <v>231</v>
      </c>
      <c r="B186" s="7">
        <f t="shared" si="4"/>
        <v>32808</v>
      </c>
      <c r="C186" s="89">
        <f t="shared" si="5"/>
        <v>33895</v>
      </c>
      <c r="D186" s="57">
        <v>1826</v>
      </c>
      <c r="E186" s="57">
        <v>2544</v>
      </c>
      <c r="F186" s="57">
        <v>26996</v>
      </c>
      <c r="G186" s="57">
        <v>27192</v>
      </c>
      <c r="H186" s="57">
        <v>0</v>
      </c>
      <c r="I186" s="57">
        <v>2</v>
      </c>
      <c r="J186" s="57">
        <v>21</v>
      </c>
      <c r="K186" s="57">
        <v>23</v>
      </c>
      <c r="L186" s="57">
        <v>326</v>
      </c>
      <c r="M186" s="57">
        <v>402</v>
      </c>
      <c r="N186" s="57">
        <v>1</v>
      </c>
      <c r="O186" s="57">
        <v>3</v>
      </c>
      <c r="P186" s="57">
        <v>2056</v>
      </c>
      <c r="Q186" s="57">
        <v>2045</v>
      </c>
      <c r="R186" s="57">
        <v>41</v>
      </c>
      <c r="S186" s="57">
        <v>42</v>
      </c>
      <c r="T186" s="57">
        <v>1505</v>
      </c>
      <c r="U186" s="57">
        <v>1610</v>
      </c>
      <c r="V186" s="57">
        <v>2</v>
      </c>
      <c r="W186" s="57">
        <v>0</v>
      </c>
      <c r="X186" s="57">
        <v>2</v>
      </c>
      <c r="Y186" s="57">
        <v>1</v>
      </c>
      <c r="Z186" s="57">
        <v>11</v>
      </c>
      <c r="AA186" s="57">
        <v>9</v>
      </c>
      <c r="AB186" s="57">
        <v>1</v>
      </c>
      <c r="AC186" s="57">
        <v>2</v>
      </c>
      <c r="AD186" s="57">
        <v>20</v>
      </c>
      <c r="AE186" s="132">
        <v>20</v>
      </c>
    </row>
    <row r="187" spans="1:31">
      <c r="A187" s="127" t="s">
        <v>136</v>
      </c>
      <c r="B187" s="7">
        <f t="shared" si="4"/>
        <v>58</v>
      </c>
      <c r="C187" s="89">
        <f t="shared" si="5"/>
        <v>61</v>
      </c>
      <c r="D187" s="57">
        <v>1</v>
      </c>
      <c r="E187" s="57">
        <v>2</v>
      </c>
      <c r="F187" s="57">
        <v>53</v>
      </c>
      <c r="G187" s="57">
        <v>54</v>
      </c>
      <c r="H187" s="57">
        <v>0</v>
      </c>
      <c r="I187" s="57">
        <v>0</v>
      </c>
      <c r="J187" s="57">
        <v>0</v>
      </c>
      <c r="K187" s="57">
        <v>0</v>
      </c>
      <c r="L187" s="57">
        <v>1</v>
      </c>
      <c r="M187" s="57">
        <v>1</v>
      </c>
      <c r="N187" s="57">
        <v>0</v>
      </c>
      <c r="O187" s="57">
        <v>0</v>
      </c>
      <c r="P187" s="57">
        <v>3</v>
      </c>
      <c r="Q187" s="57">
        <v>4</v>
      </c>
      <c r="R187" s="57">
        <v>0</v>
      </c>
      <c r="S187" s="57">
        <v>0</v>
      </c>
      <c r="T187" s="57">
        <v>0</v>
      </c>
      <c r="U187" s="57">
        <v>0</v>
      </c>
      <c r="V187" s="57">
        <v>0</v>
      </c>
      <c r="W187" s="57">
        <v>0</v>
      </c>
      <c r="X187" s="57">
        <v>0</v>
      </c>
      <c r="Y187" s="57">
        <v>0</v>
      </c>
      <c r="Z187" s="57">
        <v>0</v>
      </c>
      <c r="AA187" s="57">
        <v>0</v>
      </c>
      <c r="AB187" s="57">
        <v>0</v>
      </c>
      <c r="AC187" s="57">
        <v>0</v>
      </c>
      <c r="AD187" s="57">
        <v>0</v>
      </c>
      <c r="AE187" s="132">
        <v>0</v>
      </c>
    </row>
    <row r="188" spans="1:31">
      <c r="A188" s="127" t="s">
        <v>97</v>
      </c>
      <c r="B188" s="7">
        <f t="shared" si="4"/>
        <v>9</v>
      </c>
      <c r="C188" s="89">
        <f t="shared" si="5"/>
        <v>10</v>
      </c>
      <c r="D188" s="57">
        <v>2</v>
      </c>
      <c r="E188" s="57">
        <v>2</v>
      </c>
      <c r="F188" s="57">
        <v>7</v>
      </c>
      <c r="G188" s="57">
        <v>8</v>
      </c>
      <c r="H188" s="57">
        <v>0</v>
      </c>
      <c r="I188" s="57">
        <v>0</v>
      </c>
      <c r="J188" s="57">
        <v>0</v>
      </c>
      <c r="K188" s="57">
        <v>0</v>
      </c>
      <c r="L188" s="57">
        <v>0</v>
      </c>
      <c r="M188" s="57">
        <v>0</v>
      </c>
      <c r="N188" s="57">
        <v>0</v>
      </c>
      <c r="O188" s="57">
        <v>0</v>
      </c>
      <c r="P188" s="57">
        <v>0</v>
      </c>
      <c r="Q188" s="57">
        <v>0</v>
      </c>
      <c r="R188" s="57">
        <v>0</v>
      </c>
      <c r="S188" s="57">
        <v>0</v>
      </c>
      <c r="T188" s="57">
        <v>0</v>
      </c>
      <c r="U188" s="57">
        <v>0</v>
      </c>
      <c r="V188" s="57">
        <v>0</v>
      </c>
      <c r="W188" s="57">
        <v>0</v>
      </c>
      <c r="X188" s="57">
        <v>0</v>
      </c>
      <c r="Y188" s="57">
        <v>0</v>
      </c>
      <c r="Z188" s="57">
        <v>0</v>
      </c>
      <c r="AA188" s="57">
        <v>0</v>
      </c>
      <c r="AB188" s="57">
        <v>0</v>
      </c>
      <c r="AC188" s="57">
        <v>0</v>
      </c>
      <c r="AD188" s="57">
        <v>0</v>
      </c>
      <c r="AE188" s="132">
        <v>0</v>
      </c>
    </row>
    <row r="189" spans="1:31">
      <c r="A189" s="127" t="s">
        <v>179</v>
      </c>
      <c r="B189" s="7">
        <f t="shared" si="4"/>
        <v>208</v>
      </c>
      <c r="C189" s="89">
        <f t="shared" si="5"/>
        <v>211</v>
      </c>
      <c r="D189" s="57">
        <v>35</v>
      </c>
      <c r="E189" s="57">
        <v>35</v>
      </c>
      <c r="F189" s="57">
        <v>147</v>
      </c>
      <c r="G189" s="57">
        <v>137</v>
      </c>
      <c r="H189" s="57">
        <v>0</v>
      </c>
      <c r="I189" s="57">
        <v>0</v>
      </c>
      <c r="J189" s="57">
        <v>0</v>
      </c>
      <c r="K189" s="57">
        <v>0</v>
      </c>
      <c r="L189" s="57">
        <v>3</v>
      </c>
      <c r="M189" s="57">
        <v>2</v>
      </c>
      <c r="N189" s="57">
        <v>0</v>
      </c>
      <c r="O189" s="57">
        <v>0</v>
      </c>
      <c r="P189" s="57">
        <v>3</v>
      </c>
      <c r="Q189" s="57">
        <v>15</v>
      </c>
      <c r="R189" s="57">
        <v>0</v>
      </c>
      <c r="S189" s="57">
        <v>0</v>
      </c>
      <c r="T189" s="57">
        <v>5</v>
      </c>
      <c r="U189" s="57">
        <v>5</v>
      </c>
      <c r="V189" s="57">
        <v>0</v>
      </c>
      <c r="W189" s="57">
        <v>0</v>
      </c>
      <c r="X189" s="57">
        <v>6</v>
      </c>
      <c r="Y189" s="57">
        <v>9</v>
      </c>
      <c r="Z189" s="57">
        <v>4</v>
      </c>
      <c r="AA189" s="57">
        <v>3</v>
      </c>
      <c r="AB189" s="57">
        <v>0</v>
      </c>
      <c r="AC189" s="57">
        <v>0</v>
      </c>
      <c r="AD189" s="57">
        <v>5</v>
      </c>
      <c r="AE189" s="132">
        <v>5</v>
      </c>
    </row>
    <row r="190" spans="1:31">
      <c r="A190" s="127" t="s">
        <v>400</v>
      </c>
      <c r="B190" s="7">
        <f t="shared" si="4"/>
        <v>960</v>
      </c>
      <c r="C190" s="89">
        <f t="shared" si="5"/>
        <v>1075</v>
      </c>
      <c r="D190" s="57">
        <v>87</v>
      </c>
      <c r="E190" s="57">
        <v>83</v>
      </c>
      <c r="F190" s="57">
        <v>713</v>
      </c>
      <c r="G190" s="57">
        <v>841</v>
      </c>
      <c r="H190" s="57">
        <v>0</v>
      </c>
      <c r="I190" s="57">
        <v>0</v>
      </c>
      <c r="J190" s="57">
        <v>0</v>
      </c>
      <c r="K190" s="57">
        <v>0</v>
      </c>
      <c r="L190" s="57">
        <v>22</v>
      </c>
      <c r="M190" s="57">
        <v>19</v>
      </c>
      <c r="N190" s="57">
        <v>1</v>
      </c>
      <c r="O190" s="57">
        <v>2</v>
      </c>
      <c r="P190" s="57">
        <v>128</v>
      </c>
      <c r="Q190" s="57">
        <v>120</v>
      </c>
      <c r="R190" s="57">
        <v>1</v>
      </c>
      <c r="S190" s="57">
        <v>1</v>
      </c>
      <c r="T190" s="57">
        <v>8</v>
      </c>
      <c r="U190" s="57">
        <v>9</v>
      </c>
      <c r="V190" s="57">
        <v>0</v>
      </c>
      <c r="W190" s="57">
        <v>0</v>
      </c>
      <c r="X190" s="57">
        <v>0</v>
      </c>
      <c r="Y190" s="57">
        <v>0</v>
      </c>
      <c r="Z190" s="57">
        <v>0</v>
      </c>
      <c r="AA190" s="57">
        <v>0</v>
      </c>
      <c r="AB190" s="57">
        <v>0</v>
      </c>
      <c r="AC190" s="57">
        <v>0</v>
      </c>
      <c r="AD190" s="57">
        <v>0</v>
      </c>
      <c r="AE190" s="132">
        <v>0</v>
      </c>
    </row>
    <row r="191" spans="1:31">
      <c r="A191" s="127" t="s">
        <v>180</v>
      </c>
      <c r="B191" s="7">
        <f t="shared" si="4"/>
        <v>3</v>
      </c>
      <c r="C191" s="89">
        <f t="shared" si="5"/>
        <v>3</v>
      </c>
      <c r="D191" s="57">
        <v>1</v>
      </c>
      <c r="E191" s="57">
        <v>1</v>
      </c>
      <c r="F191" s="57">
        <v>2</v>
      </c>
      <c r="G191" s="57">
        <v>2</v>
      </c>
      <c r="H191" s="57">
        <v>0</v>
      </c>
      <c r="I191" s="57">
        <v>0</v>
      </c>
      <c r="J191" s="57">
        <v>0</v>
      </c>
      <c r="K191" s="57">
        <v>0</v>
      </c>
      <c r="L191" s="57">
        <v>0</v>
      </c>
      <c r="M191" s="57">
        <v>0</v>
      </c>
      <c r="N191" s="57">
        <v>0</v>
      </c>
      <c r="O191" s="57">
        <v>0</v>
      </c>
      <c r="P191" s="57">
        <v>0</v>
      </c>
      <c r="Q191" s="57">
        <v>0</v>
      </c>
      <c r="R191" s="57">
        <v>0</v>
      </c>
      <c r="S191" s="57">
        <v>0</v>
      </c>
      <c r="T191" s="57">
        <v>0</v>
      </c>
      <c r="U191" s="57">
        <v>0</v>
      </c>
      <c r="V191" s="57">
        <v>0</v>
      </c>
      <c r="W191" s="57">
        <v>0</v>
      </c>
      <c r="X191" s="57">
        <v>0</v>
      </c>
      <c r="Y191" s="57">
        <v>0</v>
      </c>
      <c r="Z191" s="57">
        <v>0</v>
      </c>
      <c r="AA191" s="57">
        <v>0</v>
      </c>
      <c r="AB191" s="57">
        <v>0</v>
      </c>
      <c r="AC191" s="57">
        <v>0</v>
      </c>
      <c r="AD191" s="57">
        <v>0</v>
      </c>
      <c r="AE191" s="132">
        <v>0</v>
      </c>
    </row>
    <row r="192" spans="1:31">
      <c r="A192" s="127" t="s">
        <v>98</v>
      </c>
      <c r="B192" s="7">
        <f t="shared" si="4"/>
        <v>42</v>
      </c>
      <c r="C192" s="89">
        <f t="shared" si="5"/>
        <v>42</v>
      </c>
      <c r="D192" s="57">
        <v>2</v>
      </c>
      <c r="E192" s="57">
        <v>6</v>
      </c>
      <c r="F192" s="57">
        <v>36</v>
      </c>
      <c r="G192" s="57">
        <v>34</v>
      </c>
      <c r="H192" s="57">
        <v>0</v>
      </c>
      <c r="I192" s="57">
        <v>0</v>
      </c>
      <c r="J192" s="57">
        <v>0</v>
      </c>
      <c r="K192" s="57">
        <v>0</v>
      </c>
      <c r="L192" s="57">
        <v>0</v>
      </c>
      <c r="M192" s="57">
        <v>0</v>
      </c>
      <c r="N192" s="57">
        <v>0</v>
      </c>
      <c r="O192" s="57">
        <v>0</v>
      </c>
      <c r="P192" s="57">
        <v>2</v>
      </c>
      <c r="Q192" s="57">
        <v>1</v>
      </c>
      <c r="R192" s="57">
        <v>0</v>
      </c>
      <c r="S192" s="57">
        <v>0</v>
      </c>
      <c r="T192" s="57">
        <v>0</v>
      </c>
      <c r="U192" s="57">
        <v>0</v>
      </c>
      <c r="V192" s="57">
        <v>0</v>
      </c>
      <c r="W192" s="57">
        <v>0</v>
      </c>
      <c r="X192" s="57">
        <v>0</v>
      </c>
      <c r="Y192" s="57">
        <v>0</v>
      </c>
      <c r="Z192" s="57">
        <v>1</v>
      </c>
      <c r="AA192" s="57">
        <v>0</v>
      </c>
      <c r="AB192" s="57">
        <v>0</v>
      </c>
      <c r="AC192" s="57">
        <v>0</v>
      </c>
      <c r="AD192" s="57">
        <v>1</v>
      </c>
      <c r="AE192" s="132">
        <v>1</v>
      </c>
    </row>
    <row r="193" spans="1:31">
      <c r="A193" s="127" t="s">
        <v>99</v>
      </c>
      <c r="B193" s="7">
        <f t="shared" si="4"/>
        <v>11</v>
      </c>
      <c r="C193" s="89">
        <f t="shared" si="5"/>
        <v>12</v>
      </c>
      <c r="D193" s="57">
        <v>0</v>
      </c>
      <c r="E193" s="57">
        <v>0</v>
      </c>
      <c r="F193" s="57">
        <v>11</v>
      </c>
      <c r="G193" s="57">
        <v>12</v>
      </c>
      <c r="H193" s="57">
        <v>0</v>
      </c>
      <c r="I193" s="57">
        <v>0</v>
      </c>
      <c r="J193" s="57">
        <v>0</v>
      </c>
      <c r="K193" s="57">
        <v>0</v>
      </c>
      <c r="L193" s="57">
        <v>0</v>
      </c>
      <c r="M193" s="57">
        <v>0</v>
      </c>
      <c r="N193" s="57">
        <v>0</v>
      </c>
      <c r="O193" s="57">
        <v>0</v>
      </c>
      <c r="P193" s="57">
        <v>0</v>
      </c>
      <c r="Q193" s="57">
        <v>0</v>
      </c>
      <c r="R193" s="57">
        <v>0</v>
      </c>
      <c r="S193" s="57">
        <v>0</v>
      </c>
      <c r="T193" s="57">
        <v>0</v>
      </c>
      <c r="U193" s="57">
        <v>0</v>
      </c>
      <c r="V193" s="57">
        <v>0</v>
      </c>
      <c r="W193" s="57">
        <v>0</v>
      </c>
      <c r="X193" s="57">
        <v>0</v>
      </c>
      <c r="Y193" s="57">
        <v>0</v>
      </c>
      <c r="Z193" s="57">
        <v>0</v>
      </c>
      <c r="AA193" s="57">
        <v>0</v>
      </c>
      <c r="AB193" s="57">
        <v>0</v>
      </c>
      <c r="AC193" s="57">
        <v>0</v>
      </c>
      <c r="AD193" s="57">
        <v>0</v>
      </c>
      <c r="AE193" s="132">
        <v>0</v>
      </c>
    </row>
    <row r="194" spans="1:31">
      <c r="A194" s="127" t="s">
        <v>243</v>
      </c>
      <c r="B194" s="7">
        <f t="shared" si="4"/>
        <v>8</v>
      </c>
      <c r="C194" s="89">
        <f t="shared" si="5"/>
        <v>9</v>
      </c>
      <c r="D194" s="57">
        <v>2</v>
      </c>
      <c r="E194" s="57">
        <v>3</v>
      </c>
      <c r="F194" s="57">
        <v>6</v>
      </c>
      <c r="G194" s="57">
        <v>6</v>
      </c>
      <c r="H194" s="57">
        <v>0</v>
      </c>
      <c r="I194" s="57">
        <v>0</v>
      </c>
      <c r="J194" s="57">
        <v>0</v>
      </c>
      <c r="K194" s="57">
        <v>0</v>
      </c>
      <c r="L194" s="57">
        <v>0</v>
      </c>
      <c r="M194" s="57">
        <v>0</v>
      </c>
      <c r="N194" s="57">
        <v>0</v>
      </c>
      <c r="O194" s="57">
        <v>0</v>
      </c>
      <c r="P194" s="57">
        <v>0</v>
      </c>
      <c r="Q194" s="57">
        <v>0</v>
      </c>
      <c r="R194" s="57">
        <v>0</v>
      </c>
      <c r="S194" s="57">
        <v>0</v>
      </c>
      <c r="T194" s="57">
        <v>0</v>
      </c>
      <c r="U194" s="57">
        <v>0</v>
      </c>
      <c r="V194" s="57">
        <v>0</v>
      </c>
      <c r="W194" s="57">
        <v>0</v>
      </c>
      <c r="X194" s="57">
        <v>0</v>
      </c>
      <c r="Y194" s="57">
        <v>0</v>
      </c>
      <c r="Z194" s="57">
        <v>0</v>
      </c>
      <c r="AA194" s="57">
        <v>0</v>
      </c>
      <c r="AB194" s="57">
        <v>0</v>
      </c>
      <c r="AC194" s="57">
        <v>0</v>
      </c>
      <c r="AD194" s="57">
        <v>0</v>
      </c>
      <c r="AE194" s="132">
        <v>0</v>
      </c>
    </row>
    <row r="195" spans="1:31">
      <c r="A195" s="127" t="s">
        <v>137</v>
      </c>
      <c r="B195" s="7">
        <f t="shared" si="4"/>
        <v>850</v>
      </c>
      <c r="C195" s="89">
        <f t="shared" si="5"/>
        <v>860</v>
      </c>
      <c r="D195" s="57">
        <v>107</v>
      </c>
      <c r="E195" s="57">
        <v>103</v>
      </c>
      <c r="F195" s="57">
        <v>709</v>
      </c>
      <c r="G195" s="57">
        <v>717</v>
      </c>
      <c r="H195" s="57">
        <v>0</v>
      </c>
      <c r="I195" s="57">
        <v>0</v>
      </c>
      <c r="J195" s="57">
        <v>0</v>
      </c>
      <c r="K195" s="57">
        <v>0</v>
      </c>
      <c r="L195" s="57">
        <v>6</v>
      </c>
      <c r="M195" s="57">
        <v>6</v>
      </c>
      <c r="N195" s="57">
        <v>0</v>
      </c>
      <c r="O195" s="57">
        <v>0</v>
      </c>
      <c r="P195" s="57">
        <v>15</v>
      </c>
      <c r="Q195" s="57">
        <v>26</v>
      </c>
      <c r="R195" s="57">
        <v>0</v>
      </c>
      <c r="S195" s="57">
        <v>0</v>
      </c>
      <c r="T195" s="57">
        <v>9</v>
      </c>
      <c r="U195" s="57">
        <v>8</v>
      </c>
      <c r="V195" s="57">
        <v>0</v>
      </c>
      <c r="W195" s="57">
        <v>0</v>
      </c>
      <c r="X195" s="57">
        <v>2</v>
      </c>
      <c r="Y195" s="57">
        <v>0</v>
      </c>
      <c r="Z195" s="57">
        <v>0</v>
      </c>
      <c r="AA195" s="57">
        <v>0</v>
      </c>
      <c r="AB195" s="57">
        <v>0</v>
      </c>
      <c r="AC195" s="57">
        <v>0</v>
      </c>
      <c r="AD195" s="57">
        <v>2</v>
      </c>
      <c r="AE195" s="132">
        <v>0</v>
      </c>
    </row>
    <row r="196" spans="1:31">
      <c r="A196" s="127" t="s">
        <v>100</v>
      </c>
      <c r="B196" s="7">
        <f t="shared" si="4"/>
        <v>124</v>
      </c>
      <c r="C196" s="89">
        <f t="shared" si="5"/>
        <v>124</v>
      </c>
      <c r="D196" s="57">
        <v>16</v>
      </c>
      <c r="E196" s="57">
        <v>25</v>
      </c>
      <c r="F196" s="57">
        <v>101</v>
      </c>
      <c r="G196" s="57">
        <v>88</v>
      </c>
      <c r="H196" s="57">
        <v>0</v>
      </c>
      <c r="I196" s="57">
        <v>0</v>
      </c>
      <c r="J196" s="57">
        <v>0</v>
      </c>
      <c r="K196" s="57">
        <v>0</v>
      </c>
      <c r="L196" s="57">
        <v>0</v>
      </c>
      <c r="M196" s="57">
        <v>1</v>
      </c>
      <c r="N196" s="57">
        <v>0</v>
      </c>
      <c r="O196" s="57">
        <v>0</v>
      </c>
      <c r="P196" s="57">
        <v>6</v>
      </c>
      <c r="Q196" s="57">
        <v>8</v>
      </c>
      <c r="R196" s="57">
        <v>0</v>
      </c>
      <c r="S196" s="57">
        <v>0</v>
      </c>
      <c r="T196" s="57">
        <v>1</v>
      </c>
      <c r="U196" s="57">
        <v>1</v>
      </c>
      <c r="V196" s="57">
        <v>0</v>
      </c>
      <c r="W196" s="57">
        <v>1</v>
      </c>
      <c r="X196" s="57">
        <v>0</v>
      </c>
      <c r="Y196" s="57">
        <v>0</v>
      </c>
      <c r="Z196" s="57">
        <v>0</v>
      </c>
      <c r="AA196" s="57">
        <v>0</v>
      </c>
      <c r="AB196" s="57">
        <v>0</v>
      </c>
      <c r="AC196" s="57">
        <v>0</v>
      </c>
      <c r="AD196" s="57">
        <v>0</v>
      </c>
      <c r="AE196" s="132">
        <v>0</v>
      </c>
    </row>
    <row r="197" spans="1:31">
      <c r="A197" s="127" t="s">
        <v>182</v>
      </c>
      <c r="B197" s="7">
        <f t="shared" si="4"/>
        <v>1</v>
      </c>
      <c r="C197" s="89">
        <f t="shared" si="5"/>
        <v>2</v>
      </c>
      <c r="D197" s="57">
        <v>0</v>
      </c>
      <c r="E197" s="57">
        <v>0</v>
      </c>
      <c r="F197" s="57">
        <v>1</v>
      </c>
      <c r="G197" s="57">
        <v>2</v>
      </c>
      <c r="H197" s="57">
        <v>0</v>
      </c>
      <c r="I197" s="57">
        <v>0</v>
      </c>
      <c r="J197" s="57">
        <v>0</v>
      </c>
      <c r="K197" s="57">
        <v>0</v>
      </c>
      <c r="L197" s="57">
        <v>0</v>
      </c>
      <c r="M197" s="57">
        <v>0</v>
      </c>
      <c r="N197" s="57">
        <v>0</v>
      </c>
      <c r="O197" s="57">
        <v>0</v>
      </c>
      <c r="P197" s="57">
        <v>0</v>
      </c>
      <c r="Q197" s="57">
        <v>0</v>
      </c>
      <c r="R197" s="57">
        <v>0</v>
      </c>
      <c r="S197" s="57">
        <v>0</v>
      </c>
      <c r="T197" s="57">
        <v>0</v>
      </c>
      <c r="U197" s="57">
        <v>0</v>
      </c>
      <c r="V197" s="57">
        <v>0</v>
      </c>
      <c r="W197" s="57">
        <v>0</v>
      </c>
      <c r="X197" s="57">
        <v>0</v>
      </c>
      <c r="Y197" s="57">
        <v>0</v>
      </c>
      <c r="Z197" s="57">
        <v>0</v>
      </c>
      <c r="AA197" s="57">
        <v>0</v>
      </c>
      <c r="AB197" s="57">
        <v>0</v>
      </c>
      <c r="AC197" s="57">
        <v>0</v>
      </c>
      <c r="AD197" s="57">
        <v>0</v>
      </c>
      <c r="AE197" s="132">
        <v>0</v>
      </c>
    </row>
    <row r="198" spans="1:31">
      <c r="A198" s="127" t="s">
        <v>183</v>
      </c>
      <c r="B198" s="7">
        <f t="shared" si="4"/>
        <v>1323</v>
      </c>
      <c r="C198" s="89">
        <f t="shared" si="5"/>
        <v>1288</v>
      </c>
      <c r="D198" s="57">
        <v>146</v>
      </c>
      <c r="E198" s="57">
        <v>112</v>
      </c>
      <c r="F198" s="57">
        <v>956</v>
      </c>
      <c r="G198" s="57">
        <v>971</v>
      </c>
      <c r="H198" s="57">
        <v>0</v>
      </c>
      <c r="I198" s="57">
        <v>0</v>
      </c>
      <c r="J198" s="57">
        <v>0</v>
      </c>
      <c r="K198" s="57">
        <v>0</v>
      </c>
      <c r="L198" s="57">
        <v>69</v>
      </c>
      <c r="M198" s="57">
        <v>64</v>
      </c>
      <c r="N198" s="57">
        <v>0</v>
      </c>
      <c r="O198" s="57">
        <v>0</v>
      </c>
      <c r="P198" s="57">
        <v>92</v>
      </c>
      <c r="Q198" s="57">
        <v>84</v>
      </c>
      <c r="R198" s="57">
        <v>3</v>
      </c>
      <c r="S198" s="57">
        <v>5</v>
      </c>
      <c r="T198" s="57">
        <v>29</v>
      </c>
      <c r="U198" s="57">
        <v>24</v>
      </c>
      <c r="V198" s="57">
        <v>24</v>
      </c>
      <c r="W198" s="57">
        <v>24</v>
      </c>
      <c r="X198" s="57">
        <v>2</v>
      </c>
      <c r="Y198" s="57">
        <v>2</v>
      </c>
      <c r="Z198" s="57">
        <v>0</v>
      </c>
      <c r="AA198" s="57">
        <v>1</v>
      </c>
      <c r="AB198" s="57">
        <v>0</v>
      </c>
      <c r="AC198" s="57">
        <v>0</v>
      </c>
      <c r="AD198" s="57">
        <v>2</v>
      </c>
      <c r="AE198" s="132">
        <v>1</v>
      </c>
    </row>
    <row r="199" spans="1:31">
      <c r="A199" s="127" t="s">
        <v>381</v>
      </c>
      <c r="B199" s="7">
        <f t="shared" si="4"/>
        <v>1</v>
      </c>
      <c r="C199" s="89">
        <f t="shared" si="5"/>
        <v>0</v>
      </c>
      <c r="D199" s="57">
        <v>0</v>
      </c>
      <c r="E199" s="57">
        <v>0</v>
      </c>
      <c r="F199" s="57">
        <v>1</v>
      </c>
      <c r="G199" s="57">
        <v>0</v>
      </c>
      <c r="H199" s="57">
        <v>0</v>
      </c>
      <c r="I199" s="57">
        <v>0</v>
      </c>
      <c r="J199" s="57">
        <v>0</v>
      </c>
      <c r="K199" s="57">
        <v>0</v>
      </c>
      <c r="L199" s="57">
        <v>0</v>
      </c>
      <c r="M199" s="57">
        <v>0</v>
      </c>
      <c r="N199" s="57">
        <v>0</v>
      </c>
      <c r="O199" s="57">
        <v>0</v>
      </c>
      <c r="P199" s="57">
        <v>0</v>
      </c>
      <c r="Q199" s="57">
        <v>0</v>
      </c>
      <c r="R199" s="57">
        <v>0</v>
      </c>
      <c r="S199" s="57">
        <v>0</v>
      </c>
      <c r="T199" s="57">
        <v>0</v>
      </c>
      <c r="U199" s="57">
        <v>0</v>
      </c>
      <c r="V199" s="57">
        <v>0</v>
      </c>
      <c r="W199" s="57">
        <v>0</v>
      </c>
      <c r="X199" s="57">
        <v>0</v>
      </c>
      <c r="Y199" s="57">
        <v>0</v>
      </c>
      <c r="Z199" s="57">
        <v>0</v>
      </c>
      <c r="AA199" s="57">
        <v>0</v>
      </c>
      <c r="AB199" s="57">
        <v>0</v>
      </c>
      <c r="AC199" s="57">
        <v>0</v>
      </c>
      <c r="AD199" s="57">
        <v>0</v>
      </c>
      <c r="AE199" s="132">
        <v>0</v>
      </c>
    </row>
    <row r="200" spans="1:31">
      <c r="A200" s="127" t="s">
        <v>232</v>
      </c>
      <c r="B200" s="7">
        <f t="shared" si="4"/>
        <v>1983</v>
      </c>
      <c r="C200" s="89">
        <f t="shared" si="5"/>
        <v>2101</v>
      </c>
      <c r="D200" s="57">
        <v>221</v>
      </c>
      <c r="E200" s="57">
        <v>330</v>
      </c>
      <c r="F200" s="57">
        <v>1500</v>
      </c>
      <c r="G200" s="57">
        <v>1549</v>
      </c>
      <c r="H200" s="57">
        <v>0</v>
      </c>
      <c r="I200" s="57">
        <v>0</v>
      </c>
      <c r="J200" s="57">
        <v>0</v>
      </c>
      <c r="K200" s="57">
        <v>0</v>
      </c>
      <c r="L200" s="57">
        <v>29</v>
      </c>
      <c r="M200" s="57">
        <v>31</v>
      </c>
      <c r="N200" s="57">
        <v>5</v>
      </c>
      <c r="O200" s="57">
        <v>5</v>
      </c>
      <c r="P200" s="57">
        <v>116</v>
      </c>
      <c r="Q200" s="57">
        <v>96</v>
      </c>
      <c r="R200" s="57">
        <v>2</v>
      </c>
      <c r="S200" s="57">
        <v>2</v>
      </c>
      <c r="T200" s="57">
        <v>17</v>
      </c>
      <c r="U200" s="57">
        <v>21</v>
      </c>
      <c r="V200" s="57">
        <v>47</v>
      </c>
      <c r="W200" s="57">
        <v>31</v>
      </c>
      <c r="X200" s="57">
        <v>40</v>
      </c>
      <c r="Y200" s="57">
        <v>33</v>
      </c>
      <c r="Z200" s="57">
        <v>4</v>
      </c>
      <c r="AA200" s="57">
        <v>1</v>
      </c>
      <c r="AB200" s="57">
        <v>0</v>
      </c>
      <c r="AC200" s="57">
        <v>0</v>
      </c>
      <c r="AD200" s="57">
        <v>2</v>
      </c>
      <c r="AE200" s="132">
        <v>2</v>
      </c>
    </row>
    <row r="201" spans="1:31">
      <c r="A201" s="127" t="s">
        <v>101</v>
      </c>
      <c r="B201" s="7">
        <f t="shared" si="4"/>
        <v>44</v>
      </c>
      <c r="C201" s="89">
        <f t="shared" si="5"/>
        <v>44</v>
      </c>
      <c r="D201" s="57">
        <v>3</v>
      </c>
      <c r="E201" s="57">
        <v>3</v>
      </c>
      <c r="F201" s="57">
        <v>39</v>
      </c>
      <c r="G201" s="57">
        <v>40</v>
      </c>
      <c r="H201" s="57">
        <v>0</v>
      </c>
      <c r="I201" s="57">
        <v>0</v>
      </c>
      <c r="J201" s="57">
        <v>0</v>
      </c>
      <c r="K201" s="57">
        <v>0</v>
      </c>
      <c r="L201" s="57">
        <v>0</v>
      </c>
      <c r="M201" s="57">
        <v>0</v>
      </c>
      <c r="N201" s="57">
        <v>0</v>
      </c>
      <c r="O201" s="57">
        <v>0</v>
      </c>
      <c r="P201" s="57">
        <v>1</v>
      </c>
      <c r="Q201" s="57">
        <v>1</v>
      </c>
      <c r="R201" s="57">
        <v>0</v>
      </c>
      <c r="S201" s="57">
        <v>0</v>
      </c>
      <c r="T201" s="57">
        <v>0</v>
      </c>
      <c r="U201" s="57">
        <v>0</v>
      </c>
      <c r="V201" s="57">
        <v>0</v>
      </c>
      <c r="W201" s="57">
        <v>0</v>
      </c>
      <c r="X201" s="57">
        <v>1</v>
      </c>
      <c r="Y201" s="57">
        <v>0</v>
      </c>
      <c r="Z201" s="57">
        <v>0</v>
      </c>
      <c r="AA201" s="57">
        <v>0</v>
      </c>
      <c r="AB201" s="57">
        <v>0</v>
      </c>
      <c r="AC201" s="57">
        <v>0</v>
      </c>
      <c r="AD201" s="57">
        <v>0</v>
      </c>
      <c r="AE201" s="132">
        <v>0</v>
      </c>
    </row>
    <row r="202" spans="1:31">
      <c r="A202" s="127" t="s">
        <v>138</v>
      </c>
      <c r="B202" s="7">
        <f t="shared" si="4"/>
        <v>4180</v>
      </c>
      <c r="C202" s="89">
        <f t="shared" si="5"/>
        <v>4256</v>
      </c>
      <c r="D202" s="57">
        <v>56</v>
      </c>
      <c r="E202" s="57">
        <v>55</v>
      </c>
      <c r="F202" s="57">
        <v>3755</v>
      </c>
      <c r="G202" s="57">
        <v>3816</v>
      </c>
      <c r="H202" s="57">
        <v>0</v>
      </c>
      <c r="I202" s="57">
        <v>0</v>
      </c>
      <c r="J202" s="57">
        <v>2</v>
      </c>
      <c r="K202" s="57">
        <v>4</v>
      </c>
      <c r="L202" s="57">
        <v>33</v>
      </c>
      <c r="M202" s="57">
        <v>43</v>
      </c>
      <c r="N202" s="57">
        <v>0</v>
      </c>
      <c r="O202" s="57">
        <v>0</v>
      </c>
      <c r="P202" s="57">
        <v>192</v>
      </c>
      <c r="Q202" s="57">
        <v>207</v>
      </c>
      <c r="R202" s="57">
        <v>5</v>
      </c>
      <c r="S202" s="57">
        <v>3</v>
      </c>
      <c r="T202" s="57">
        <v>134</v>
      </c>
      <c r="U202" s="57">
        <v>122</v>
      </c>
      <c r="V202" s="57">
        <v>0</v>
      </c>
      <c r="W202" s="57">
        <v>0</v>
      </c>
      <c r="X202" s="57">
        <v>1</v>
      </c>
      <c r="Y202" s="57">
        <v>2</v>
      </c>
      <c r="Z202" s="57">
        <v>1</v>
      </c>
      <c r="AA202" s="57">
        <v>2</v>
      </c>
      <c r="AB202" s="57">
        <v>0</v>
      </c>
      <c r="AC202" s="57">
        <v>0</v>
      </c>
      <c r="AD202" s="57">
        <v>1</v>
      </c>
      <c r="AE202" s="132">
        <v>2</v>
      </c>
    </row>
    <row r="203" spans="1:31">
      <c r="A203" s="127" t="s">
        <v>184</v>
      </c>
      <c r="B203" s="7">
        <f t="shared" si="4"/>
        <v>51</v>
      </c>
      <c r="C203" s="89">
        <f t="shared" si="5"/>
        <v>54</v>
      </c>
      <c r="D203" s="57">
        <v>15</v>
      </c>
      <c r="E203" s="57">
        <v>18</v>
      </c>
      <c r="F203" s="57">
        <v>36</v>
      </c>
      <c r="G203" s="57">
        <v>35</v>
      </c>
      <c r="H203" s="57">
        <v>0</v>
      </c>
      <c r="I203" s="57">
        <v>0</v>
      </c>
      <c r="J203" s="57">
        <v>0</v>
      </c>
      <c r="K203" s="57">
        <v>0</v>
      </c>
      <c r="L203" s="57">
        <v>0</v>
      </c>
      <c r="M203" s="57">
        <v>0</v>
      </c>
      <c r="N203" s="57">
        <v>0</v>
      </c>
      <c r="O203" s="57">
        <v>0</v>
      </c>
      <c r="P203" s="57">
        <v>0</v>
      </c>
      <c r="Q203" s="57">
        <v>1</v>
      </c>
      <c r="R203" s="57">
        <v>0</v>
      </c>
      <c r="S203" s="57">
        <v>0</v>
      </c>
      <c r="T203" s="57">
        <v>0</v>
      </c>
      <c r="U203" s="57">
        <v>0</v>
      </c>
      <c r="V203" s="57">
        <v>0</v>
      </c>
      <c r="W203" s="57">
        <v>0</v>
      </c>
      <c r="X203" s="57">
        <v>0</v>
      </c>
      <c r="Y203" s="57">
        <v>0</v>
      </c>
      <c r="Z203" s="57">
        <v>0</v>
      </c>
      <c r="AA203" s="57">
        <v>0</v>
      </c>
      <c r="AB203" s="57">
        <v>0</v>
      </c>
      <c r="AC203" s="57">
        <v>0</v>
      </c>
      <c r="AD203" s="57">
        <v>0</v>
      </c>
      <c r="AE203" s="132">
        <v>0</v>
      </c>
    </row>
    <row r="204" spans="1:31">
      <c r="A204" s="127" t="s">
        <v>244</v>
      </c>
      <c r="B204" s="7">
        <f t="shared" si="4"/>
        <v>5</v>
      </c>
      <c r="C204" s="89">
        <f t="shared" si="5"/>
        <v>7</v>
      </c>
      <c r="D204" s="57">
        <v>0</v>
      </c>
      <c r="E204" s="57">
        <v>0</v>
      </c>
      <c r="F204" s="57">
        <v>5</v>
      </c>
      <c r="G204" s="57">
        <v>7</v>
      </c>
      <c r="H204" s="57">
        <v>0</v>
      </c>
      <c r="I204" s="57">
        <v>0</v>
      </c>
      <c r="J204" s="57">
        <v>0</v>
      </c>
      <c r="K204" s="57">
        <v>0</v>
      </c>
      <c r="L204" s="57">
        <v>0</v>
      </c>
      <c r="M204" s="57">
        <v>0</v>
      </c>
      <c r="N204" s="57">
        <v>0</v>
      </c>
      <c r="O204" s="57">
        <v>0</v>
      </c>
      <c r="P204" s="57">
        <v>0</v>
      </c>
      <c r="Q204" s="57">
        <v>0</v>
      </c>
      <c r="R204" s="57">
        <v>0</v>
      </c>
      <c r="S204" s="57">
        <v>0</v>
      </c>
      <c r="T204" s="57">
        <v>0</v>
      </c>
      <c r="U204" s="57">
        <v>0</v>
      </c>
      <c r="V204" s="57">
        <v>0</v>
      </c>
      <c r="W204" s="57">
        <v>0</v>
      </c>
      <c r="X204" s="57">
        <v>0</v>
      </c>
      <c r="Y204" s="57">
        <v>0</v>
      </c>
      <c r="Z204" s="57">
        <v>0</v>
      </c>
      <c r="AA204" s="57">
        <v>0</v>
      </c>
      <c r="AB204" s="57">
        <v>0</v>
      </c>
      <c r="AC204" s="57">
        <v>0</v>
      </c>
      <c r="AD204" s="57">
        <v>0</v>
      </c>
      <c r="AE204" s="132">
        <v>0</v>
      </c>
    </row>
    <row r="205" spans="1:31">
      <c r="A205" s="127" t="s">
        <v>27</v>
      </c>
      <c r="B205" s="7">
        <f t="shared" ref="B205:B209" si="6">D205+F205+H205+J205+L205+N205+P205+R205+T205+V205+X205+Z205+AB205+AD205</f>
        <v>11287</v>
      </c>
      <c r="C205" s="89">
        <f t="shared" ref="C205:C209" si="7">E205+G205+I205+K205+M205+O205+Q205+S205+U205+W205+Y205+AA205+AC205+AE205</f>
        <v>13890</v>
      </c>
      <c r="D205" s="57">
        <v>148</v>
      </c>
      <c r="E205" s="57">
        <v>146</v>
      </c>
      <c r="F205" s="57">
        <v>10750</v>
      </c>
      <c r="G205" s="57">
        <v>13316</v>
      </c>
      <c r="H205" s="57">
        <v>0</v>
      </c>
      <c r="I205" s="57">
        <v>0</v>
      </c>
      <c r="J205" s="57">
        <v>10</v>
      </c>
      <c r="K205" s="57">
        <v>11</v>
      </c>
      <c r="L205" s="57">
        <v>248</v>
      </c>
      <c r="M205" s="57">
        <v>226</v>
      </c>
      <c r="N205" s="57">
        <v>4</v>
      </c>
      <c r="O205" s="57">
        <v>3</v>
      </c>
      <c r="P205" s="57">
        <v>66</v>
      </c>
      <c r="Q205" s="57">
        <v>94</v>
      </c>
      <c r="R205" s="57">
        <v>1</v>
      </c>
      <c r="S205" s="57">
        <v>25</v>
      </c>
      <c r="T205" s="57">
        <v>19</v>
      </c>
      <c r="U205" s="57">
        <v>20</v>
      </c>
      <c r="V205" s="57">
        <v>1</v>
      </c>
      <c r="W205" s="57">
        <v>0</v>
      </c>
      <c r="X205" s="57">
        <v>21</v>
      </c>
      <c r="Y205" s="57">
        <v>9</v>
      </c>
      <c r="Z205" s="57">
        <v>8</v>
      </c>
      <c r="AA205" s="57">
        <v>3</v>
      </c>
      <c r="AB205" s="57">
        <v>3</v>
      </c>
      <c r="AC205" s="57">
        <v>1</v>
      </c>
      <c r="AD205" s="57">
        <v>8</v>
      </c>
      <c r="AE205" s="132">
        <v>36</v>
      </c>
    </row>
    <row r="206" spans="1:31">
      <c r="A206" s="127" t="s">
        <v>185</v>
      </c>
      <c r="B206" s="7">
        <f t="shared" si="6"/>
        <v>169</v>
      </c>
      <c r="C206" s="89">
        <f t="shared" si="7"/>
        <v>177</v>
      </c>
      <c r="D206" s="57">
        <v>43</v>
      </c>
      <c r="E206" s="57">
        <v>44</v>
      </c>
      <c r="F206" s="57">
        <v>122</v>
      </c>
      <c r="G206" s="57">
        <v>128</v>
      </c>
      <c r="H206" s="57">
        <v>0</v>
      </c>
      <c r="I206" s="57">
        <v>0</v>
      </c>
      <c r="J206" s="57">
        <v>0</v>
      </c>
      <c r="K206" s="57">
        <v>0</v>
      </c>
      <c r="L206" s="57">
        <v>1</v>
      </c>
      <c r="M206" s="57">
        <v>1</v>
      </c>
      <c r="N206" s="57">
        <v>0</v>
      </c>
      <c r="O206" s="57">
        <v>0</v>
      </c>
      <c r="P206" s="57">
        <v>2</v>
      </c>
      <c r="Q206" s="57">
        <v>2</v>
      </c>
      <c r="R206" s="57">
        <v>0</v>
      </c>
      <c r="S206" s="57">
        <v>0</v>
      </c>
      <c r="T206" s="57">
        <v>1</v>
      </c>
      <c r="U206" s="57">
        <v>1</v>
      </c>
      <c r="V206" s="57">
        <v>0</v>
      </c>
      <c r="W206" s="57">
        <v>0</v>
      </c>
      <c r="X206" s="57">
        <v>0</v>
      </c>
      <c r="Y206" s="57">
        <v>1</v>
      </c>
      <c r="Z206" s="57">
        <v>0</v>
      </c>
      <c r="AA206" s="57">
        <v>0</v>
      </c>
      <c r="AB206" s="57">
        <v>0</v>
      </c>
      <c r="AC206" s="57">
        <v>0</v>
      </c>
      <c r="AD206" s="57">
        <v>0</v>
      </c>
      <c r="AE206" s="132">
        <v>0</v>
      </c>
    </row>
    <row r="207" spans="1:31">
      <c r="A207" s="127" t="s">
        <v>186</v>
      </c>
      <c r="B207" s="7">
        <f t="shared" si="6"/>
        <v>7</v>
      </c>
      <c r="C207" s="89">
        <f t="shared" si="7"/>
        <v>9</v>
      </c>
      <c r="D207" s="57">
        <v>0</v>
      </c>
      <c r="E207" s="57">
        <v>0</v>
      </c>
      <c r="F207" s="57">
        <v>7</v>
      </c>
      <c r="G207" s="57">
        <v>9</v>
      </c>
      <c r="H207" s="57">
        <v>0</v>
      </c>
      <c r="I207" s="57">
        <v>0</v>
      </c>
      <c r="J207" s="57">
        <v>0</v>
      </c>
      <c r="K207" s="57">
        <v>0</v>
      </c>
      <c r="L207" s="57">
        <v>0</v>
      </c>
      <c r="M207" s="57">
        <v>0</v>
      </c>
      <c r="N207" s="57">
        <v>0</v>
      </c>
      <c r="O207" s="57">
        <v>0</v>
      </c>
      <c r="P207" s="57">
        <v>0</v>
      </c>
      <c r="Q207" s="57">
        <v>0</v>
      </c>
      <c r="R207" s="57">
        <v>0</v>
      </c>
      <c r="S207" s="57">
        <v>0</v>
      </c>
      <c r="T207" s="57">
        <v>0</v>
      </c>
      <c r="U207" s="57">
        <v>0</v>
      </c>
      <c r="V207" s="57">
        <v>0</v>
      </c>
      <c r="W207" s="57">
        <v>0</v>
      </c>
      <c r="X207" s="57">
        <v>0</v>
      </c>
      <c r="Y207" s="57">
        <v>0</v>
      </c>
      <c r="Z207" s="57">
        <v>0</v>
      </c>
      <c r="AA207" s="57">
        <v>0</v>
      </c>
      <c r="AB207" s="57">
        <v>0</v>
      </c>
      <c r="AC207" s="57">
        <v>0</v>
      </c>
      <c r="AD207" s="57">
        <v>0</v>
      </c>
      <c r="AE207" s="132">
        <v>0</v>
      </c>
    </row>
    <row r="208" spans="1:31">
      <c r="A208" s="127" t="s">
        <v>102</v>
      </c>
      <c r="B208" s="7">
        <f t="shared" si="6"/>
        <v>36</v>
      </c>
      <c r="C208" s="89">
        <f t="shared" si="7"/>
        <v>40</v>
      </c>
      <c r="D208" s="57">
        <v>3</v>
      </c>
      <c r="E208" s="57">
        <v>3</v>
      </c>
      <c r="F208" s="57">
        <v>33</v>
      </c>
      <c r="G208" s="57">
        <v>36</v>
      </c>
      <c r="H208" s="57">
        <v>0</v>
      </c>
      <c r="I208" s="57">
        <v>0</v>
      </c>
      <c r="J208" s="57">
        <v>0</v>
      </c>
      <c r="K208" s="57">
        <v>0</v>
      </c>
      <c r="L208" s="57">
        <v>0</v>
      </c>
      <c r="M208" s="57">
        <v>0</v>
      </c>
      <c r="N208" s="57">
        <v>0</v>
      </c>
      <c r="O208" s="57">
        <v>0</v>
      </c>
      <c r="P208" s="57">
        <v>0</v>
      </c>
      <c r="Q208" s="57">
        <v>1</v>
      </c>
      <c r="R208" s="57">
        <v>0</v>
      </c>
      <c r="S208" s="57">
        <v>0</v>
      </c>
      <c r="T208" s="57">
        <v>0</v>
      </c>
      <c r="U208" s="57">
        <v>0</v>
      </c>
      <c r="V208" s="57">
        <v>0</v>
      </c>
      <c r="W208" s="57">
        <v>0</v>
      </c>
      <c r="X208" s="57">
        <v>0</v>
      </c>
      <c r="Y208" s="57">
        <v>0</v>
      </c>
      <c r="Z208" s="57">
        <v>0</v>
      </c>
      <c r="AA208" s="57">
        <v>0</v>
      </c>
      <c r="AB208" s="57">
        <v>0</v>
      </c>
      <c r="AC208" s="57">
        <v>0</v>
      </c>
      <c r="AD208" s="57">
        <v>0</v>
      </c>
      <c r="AE208" s="132">
        <v>0</v>
      </c>
    </row>
    <row r="209" spans="1:31">
      <c r="A209" s="127" t="s">
        <v>103</v>
      </c>
      <c r="B209" s="7">
        <f t="shared" si="6"/>
        <v>65</v>
      </c>
      <c r="C209" s="89">
        <f t="shared" si="7"/>
        <v>74</v>
      </c>
      <c r="D209" s="57">
        <v>4</v>
      </c>
      <c r="E209" s="57">
        <v>6</v>
      </c>
      <c r="F209" s="57">
        <v>56</v>
      </c>
      <c r="G209" s="57">
        <v>63</v>
      </c>
      <c r="H209" s="57">
        <v>0</v>
      </c>
      <c r="I209" s="57">
        <v>0</v>
      </c>
      <c r="J209" s="57">
        <v>0</v>
      </c>
      <c r="K209" s="57">
        <v>0</v>
      </c>
      <c r="L209" s="57">
        <v>0</v>
      </c>
      <c r="M209" s="57">
        <v>0</v>
      </c>
      <c r="N209" s="57">
        <v>0</v>
      </c>
      <c r="O209" s="57">
        <v>0</v>
      </c>
      <c r="P209" s="57">
        <v>1</v>
      </c>
      <c r="Q209" s="57">
        <v>0</v>
      </c>
      <c r="R209" s="57">
        <v>0</v>
      </c>
      <c r="S209" s="57">
        <v>0</v>
      </c>
      <c r="T209" s="57">
        <v>1</v>
      </c>
      <c r="U209" s="57">
        <v>1</v>
      </c>
      <c r="V209" s="57">
        <v>1</v>
      </c>
      <c r="W209" s="57">
        <v>0</v>
      </c>
      <c r="X209" s="57">
        <v>1</v>
      </c>
      <c r="Y209" s="57">
        <v>3</v>
      </c>
      <c r="Z209" s="57">
        <v>0</v>
      </c>
      <c r="AA209" s="57">
        <v>0</v>
      </c>
      <c r="AB209" s="57">
        <v>0</v>
      </c>
      <c r="AC209" s="57">
        <v>1</v>
      </c>
      <c r="AD209" s="57">
        <v>1</v>
      </c>
      <c r="AE209" s="132">
        <v>0</v>
      </c>
    </row>
    <row r="210" spans="1:31">
      <c r="A210" s="60"/>
      <c r="B210" s="6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10"/>
    </row>
    <row r="211" spans="1:31">
      <c r="A211" s="2" t="s">
        <v>15</v>
      </c>
    </row>
    <row r="212" spans="1:31">
      <c r="A212" s="2" t="s">
        <v>16</v>
      </c>
    </row>
    <row r="213" spans="1:31" ht="15" customHeight="1">
      <c r="A213" s="150" t="s">
        <v>17</v>
      </c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</row>
  </sheetData>
  <mergeCells count="23">
    <mergeCell ref="L7:M8"/>
    <mergeCell ref="N7:O8"/>
    <mergeCell ref="A1:AE1"/>
    <mergeCell ref="A2:AE2"/>
    <mergeCell ref="A3:AE3"/>
    <mergeCell ref="A4:AE4"/>
    <mergeCell ref="A5:AE5"/>
    <mergeCell ref="A213:K213"/>
    <mergeCell ref="AB7:AC8"/>
    <mergeCell ref="AD7:AE8"/>
    <mergeCell ref="D8:E8"/>
    <mergeCell ref="F8:G8"/>
    <mergeCell ref="H8:I8"/>
    <mergeCell ref="J8:K8"/>
    <mergeCell ref="P7:Q8"/>
    <mergeCell ref="R7:S8"/>
    <mergeCell ref="T7:U8"/>
    <mergeCell ref="V7:W8"/>
    <mergeCell ref="X7:Y8"/>
    <mergeCell ref="Z7:AA8"/>
    <mergeCell ref="A7:A9"/>
    <mergeCell ref="B7:C8"/>
    <mergeCell ref="D7:K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9"/>
  <sheetViews>
    <sheetView workbookViewId="0">
      <selection activeCell="I33" sqref="I33"/>
    </sheetView>
  </sheetViews>
  <sheetFormatPr baseColWidth="10" defaultRowHeight="15"/>
  <cols>
    <col min="1" max="1" width="40.28515625" customWidth="1"/>
    <col min="2" max="2" width="13.5703125" customWidth="1"/>
    <col min="3" max="3" width="12.28515625" customWidth="1"/>
  </cols>
  <sheetData>
    <row r="1" spans="1:4">
      <c r="A1" s="157" t="s">
        <v>18</v>
      </c>
      <c r="B1" s="157"/>
      <c r="C1" s="157"/>
      <c r="D1" s="157"/>
    </row>
    <row r="2" spans="1:4">
      <c r="A2" s="157" t="s">
        <v>382</v>
      </c>
      <c r="B2" s="157"/>
      <c r="C2" s="157"/>
      <c r="D2" s="157"/>
    </row>
    <row r="3" spans="1:4">
      <c r="A3" s="157" t="s">
        <v>19</v>
      </c>
      <c r="B3" s="157"/>
      <c r="C3" s="157"/>
      <c r="D3" s="157"/>
    </row>
    <row r="4" spans="1:4">
      <c r="A4" s="157" t="s">
        <v>20</v>
      </c>
      <c r="B4" s="157"/>
      <c r="C4" s="157"/>
      <c r="D4" s="157"/>
    </row>
    <row r="5" spans="1:4">
      <c r="A5" s="157" t="s">
        <v>402</v>
      </c>
      <c r="B5" s="157"/>
      <c r="C5" s="157"/>
      <c r="D5" s="157"/>
    </row>
    <row r="6" spans="1:4">
      <c r="A6" s="122"/>
      <c r="B6" s="122"/>
      <c r="C6" s="122"/>
      <c r="D6" s="122"/>
    </row>
    <row r="7" spans="1:4">
      <c r="A7" s="122"/>
      <c r="B7" s="122"/>
      <c r="C7" s="122"/>
      <c r="D7" s="122"/>
    </row>
    <row r="8" spans="1:4">
      <c r="A8" s="195" t="s">
        <v>21</v>
      </c>
      <c r="B8" s="162" t="s">
        <v>382</v>
      </c>
      <c r="C8" s="162"/>
      <c r="D8" s="195" t="s">
        <v>0</v>
      </c>
    </row>
    <row r="9" spans="1:4">
      <c r="A9" s="195"/>
      <c r="B9" s="123" t="s">
        <v>403</v>
      </c>
      <c r="C9" s="123" t="s">
        <v>404</v>
      </c>
      <c r="D9" s="195"/>
    </row>
    <row r="10" spans="1:4">
      <c r="A10" s="39"/>
      <c r="B10" s="134"/>
      <c r="C10" s="135"/>
      <c r="D10" s="136"/>
    </row>
    <row r="11" spans="1:4">
      <c r="A11" s="126" t="s">
        <v>0</v>
      </c>
      <c r="B11" s="113">
        <v>3775345</v>
      </c>
      <c r="C11" s="107">
        <v>3825816</v>
      </c>
      <c r="D11" s="114">
        <v>7601161</v>
      </c>
    </row>
    <row r="12" spans="1:4">
      <c r="A12" s="56"/>
      <c r="B12" s="137"/>
      <c r="C12" s="138"/>
      <c r="D12" s="139"/>
    </row>
    <row r="13" spans="1:4">
      <c r="A13" s="127" t="s">
        <v>1</v>
      </c>
      <c r="B13" s="117">
        <v>714428</v>
      </c>
      <c r="C13" s="46">
        <v>732560</v>
      </c>
      <c r="D13" s="118">
        <v>1446988</v>
      </c>
    </row>
    <row r="14" spans="1:4">
      <c r="A14" s="127" t="s">
        <v>2</v>
      </c>
      <c r="B14" s="117">
        <v>2401754</v>
      </c>
      <c r="C14" s="46">
        <v>2411790</v>
      </c>
      <c r="D14" s="118">
        <v>4813544</v>
      </c>
    </row>
    <row r="15" spans="1:4">
      <c r="A15" s="127" t="s">
        <v>3</v>
      </c>
      <c r="B15" s="117">
        <v>33</v>
      </c>
      <c r="C15" s="46">
        <v>45</v>
      </c>
      <c r="D15" s="118">
        <v>78</v>
      </c>
    </row>
    <row r="16" spans="1:4">
      <c r="A16" s="127" t="s">
        <v>4</v>
      </c>
      <c r="B16" s="117">
        <v>1891</v>
      </c>
      <c r="C16" s="46">
        <v>2254</v>
      </c>
      <c r="D16" s="118">
        <v>4145</v>
      </c>
    </row>
    <row r="17" spans="1:11">
      <c r="A17" s="127" t="s">
        <v>5</v>
      </c>
      <c r="B17" s="117">
        <v>762</v>
      </c>
      <c r="C17" s="46">
        <v>733</v>
      </c>
      <c r="D17" s="118">
        <v>1495</v>
      </c>
    </row>
    <row r="18" spans="1:11">
      <c r="A18" s="127" t="s">
        <v>6</v>
      </c>
      <c r="B18" s="117">
        <v>121185</v>
      </c>
      <c r="C18" s="46">
        <v>129447</v>
      </c>
      <c r="D18" s="118">
        <v>250632</v>
      </c>
    </row>
    <row r="19" spans="1:11">
      <c r="A19" s="127" t="s">
        <v>7</v>
      </c>
      <c r="B19" s="117">
        <v>421940</v>
      </c>
      <c r="C19" s="46">
        <v>433731</v>
      </c>
      <c r="D19" s="118">
        <v>855671</v>
      </c>
    </row>
    <row r="20" spans="1:11">
      <c r="A20" s="127" t="s">
        <v>8</v>
      </c>
      <c r="B20" s="117">
        <v>1149</v>
      </c>
      <c r="C20" s="46">
        <v>786</v>
      </c>
      <c r="D20" s="118">
        <v>1935</v>
      </c>
    </row>
    <row r="21" spans="1:11">
      <c r="A21" s="127" t="s">
        <v>9</v>
      </c>
      <c r="B21" s="117">
        <v>1953</v>
      </c>
      <c r="C21" s="46">
        <v>2221</v>
      </c>
      <c r="D21" s="118">
        <v>4174</v>
      </c>
    </row>
    <row r="22" spans="1:11">
      <c r="A22" s="127" t="s">
        <v>10</v>
      </c>
      <c r="B22" s="117">
        <v>31630</v>
      </c>
      <c r="C22" s="46">
        <v>39607</v>
      </c>
      <c r="D22" s="118">
        <v>71237</v>
      </c>
    </row>
    <row r="23" spans="1:11">
      <c r="A23" s="127" t="s">
        <v>11</v>
      </c>
      <c r="B23" s="117">
        <v>1021</v>
      </c>
      <c r="C23" s="46">
        <v>881</v>
      </c>
      <c r="D23" s="118">
        <v>1902</v>
      </c>
    </row>
    <row r="24" spans="1:11">
      <c r="A24" s="127" t="s">
        <v>12</v>
      </c>
      <c r="B24" s="117">
        <v>238</v>
      </c>
      <c r="C24" s="46">
        <v>280</v>
      </c>
      <c r="D24" s="118">
        <v>518</v>
      </c>
    </row>
    <row r="25" spans="1:11">
      <c r="A25" s="127" t="s">
        <v>13</v>
      </c>
      <c r="B25" s="117">
        <v>11321</v>
      </c>
      <c r="C25" s="46">
        <v>5249</v>
      </c>
      <c r="D25" s="118">
        <v>16570</v>
      </c>
    </row>
    <row r="26" spans="1:11">
      <c r="A26" s="127" t="s">
        <v>14</v>
      </c>
      <c r="B26" s="117">
        <v>66040</v>
      </c>
      <c r="C26" s="46">
        <v>66232</v>
      </c>
      <c r="D26" s="118">
        <v>132272</v>
      </c>
    </row>
    <row r="27" spans="1:11">
      <c r="A27" s="60"/>
      <c r="B27" s="119"/>
      <c r="C27" s="120"/>
      <c r="D27" s="121"/>
    </row>
    <row r="28" spans="1:11">
      <c r="A28" s="2" t="s">
        <v>16</v>
      </c>
    </row>
    <row r="29" spans="1:11" ht="27.75" customHeight="1">
      <c r="A29" s="150" t="s">
        <v>419</v>
      </c>
      <c r="B29" s="194"/>
      <c r="C29" s="194"/>
      <c r="D29" s="194"/>
      <c r="E29" s="133"/>
      <c r="F29" s="133"/>
      <c r="G29" s="133"/>
      <c r="H29" s="133"/>
      <c r="I29" s="133"/>
      <c r="J29" s="133"/>
      <c r="K29" s="133"/>
    </row>
  </sheetData>
  <mergeCells count="9">
    <mergeCell ref="A29:D29"/>
    <mergeCell ref="A1:D1"/>
    <mergeCell ref="A2:D2"/>
    <mergeCell ref="A3:D3"/>
    <mergeCell ref="A4:D4"/>
    <mergeCell ref="A5:D5"/>
    <mergeCell ref="B8:C8"/>
    <mergeCell ref="A8:A9"/>
    <mergeCell ref="D8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ACUMULADOS 2022</vt:lpstr>
      <vt:lpstr>REF. ACUM.  2022</vt:lpstr>
      <vt:lpstr>RECON. REF.</vt:lpstr>
      <vt:lpstr>SOLIC. REF</vt:lpstr>
      <vt:lpstr>SOLIC.SEXO</vt:lpstr>
      <vt:lpstr>APROB. EDAD</vt:lpstr>
      <vt:lpstr>APROB. SEXO</vt:lpstr>
      <vt:lpstr>RECON. REFU-SEX-EDAD</vt:lpstr>
      <vt:lpstr>PPM RECH-DEP.</vt:lpstr>
      <vt:lpstr>MOV. MIG. 2022</vt:lpstr>
      <vt:lpstr>MoV Mig Por 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Porras Salazar</dc:creator>
  <cp:lastModifiedBy>Andrea Carrillo Vargas</cp:lastModifiedBy>
  <cp:lastPrinted>2023-01-23T17:52:28Z</cp:lastPrinted>
  <dcterms:created xsi:type="dcterms:W3CDTF">2023-01-23T17:26:55Z</dcterms:created>
  <dcterms:modified xsi:type="dcterms:W3CDTF">2025-01-06T18:08:49Z</dcterms:modified>
</cp:coreProperties>
</file>